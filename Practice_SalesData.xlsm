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E91BFD39-85E3-4949-AA00-B3F9FC0188B0}" xr6:coauthVersionLast="36" xr6:coauthVersionMax="36" xr10:uidLastSave="{00000000-0000-0000-0000-000000000000}"/>
  <bookViews>
    <workbookView xWindow="0" yWindow="0" windowWidth="20490" windowHeight="7545" activeTab="3" xr2:uid="{3C0D2363-B60C-458F-88B3-DFEC7910A013}"/>
  </bookViews>
  <sheets>
    <sheet name="PIVOT TABLE" sheetId="3" r:id="rId1"/>
    <sheet name="CHARTS" sheetId="4" r:id="rId2"/>
    <sheet name="Sheet1" sheetId="1" r:id="rId3"/>
    <sheet name="DASHBOARD" sheetId="2" r:id="rId4"/>
  </sheets>
  <definedNames>
    <definedName name="Slicer_Category">#N/A</definedName>
    <definedName name="Slicer_Payment">#N/A</definedName>
    <definedName name="Slicer_Region">#N/A</definedName>
    <definedName name="Slicer_SalesPers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 l="1"/>
  <c r="B28" i="2" l="1"/>
  <c r="B16" i="2"/>
  <c r="B22" i="2"/>
  <c r="B10" i="2"/>
</calcChain>
</file>

<file path=xl/sharedStrings.xml><?xml version="1.0" encoding="utf-8"?>
<sst xmlns="http://schemas.openxmlformats.org/spreadsheetml/2006/main" count="102" uniqueCount="47">
  <si>
    <t>OrderID</t>
  </si>
  <si>
    <t>Date</t>
  </si>
  <si>
    <t>Product</t>
  </si>
  <si>
    <t>Category</t>
  </si>
  <si>
    <t>Region</t>
  </si>
  <si>
    <t>SalesPerson</t>
  </si>
  <si>
    <t>Units</t>
  </si>
  <si>
    <t>Price</t>
  </si>
  <si>
    <t>Revenue</t>
  </si>
  <si>
    <t>Cost</t>
  </si>
  <si>
    <t>Profit</t>
  </si>
  <si>
    <t>Payment</t>
  </si>
  <si>
    <t>Laptop</t>
  </si>
  <si>
    <t>Electronics</t>
  </si>
  <si>
    <t>North</t>
  </si>
  <si>
    <t>Ali</t>
  </si>
  <si>
    <t>Online</t>
  </si>
  <si>
    <t>Shirt</t>
  </si>
  <si>
    <t>Clothing</t>
  </si>
  <si>
    <t>West</t>
  </si>
  <si>
    <t>Sara</t>
  </si>
  <si>
    <t>Cash</t>
  </si>
  <si>
    <t>Phone</t>
  </si>
  <si>
    <t>East</t>
  </si>
  <si>
    <t>John</t>
  </si>
  <si>
    <t>Shoes</t>
  </si>
  <si>
    <t>South</t>
  </si>
  <si>
    <t>Riya</t>
  </si>
  <si>
    <t>Headphones</t>
  </si>
  <si>
    <t>Kabir</t>
  </si>
  <si>
    <t>Jeans</t>
  </si>
  <si>
    <t>Zoya</t>
  </si>
  <si>
    <t>Tablet</t>
  </si>
  <si>
    <t>Rahul</t>
  </si>
  <si>
    <t>Jacket</t>
  </si>
  <si>
    <t>Ayesha</t>
  </si>
  <si>
    <t>Monitor</t>
  </si>
  <si>
    <t>T-shirt</t>
  </si>
  <si>
    <t>Keyboard</t>
  </si>
  <si>
    <t>Hoodie</t>
  </si>
  <si>
    <t>Total Revenue</t>
  </si>
  <si>
    <t>Total Profit</t>
  </si>
  <si>
    <t>Total Orders</t>
  </si>
  <si>
    <t>Total Units</t>
  </si>
  <si>
    <t>Average Profit</t>
  </si>
  <si>
    <t>Grand Total</t>
  </si>
  <si>
    <t xml:space="preserve">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</si>
</sst>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_ ;_ [$₹-4009]\ * \-#,##0_ ;_ [$₹-4009]\ * &quot;-&quot;??_ ;_ @_ "/>
  </numFmts>
  <fonts count="4" x14ac:knownFonts="1">
    <font>
      <sz val="11"/>
      <color theme="1"/>
      <name val="Calibri"/>
      <family val="2"/>
      <scheme val="minor"/>
    </font>
    <font>
      <b/>
      <sz val="11"/>
      <color theme="1"/>
      <name val="Calibri"/>
      <family val="2"/>
      <scheme val="minor"/>
    </font>
    <font>
      <sz val="1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vertical="center" wrapText="1"/>
    </xf>
    <xf numFmtId="14" fontId="0" fillId="0" borderId="0" xfId="0" applyNumberFormat="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164" fontId="3" fillId="3"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3" fontId="3" fillId="3" borderId="1" xfId="0" applyNumberFormat="1" applyFont="1" applyFill="1" applyBorder="1" applyAlignment="1">
      <alignment horizontal="center" vertical="center"/>
    </xf>
    <xf numFmtId="0" fontId="3" fillId="3" borderId="1" xfId="0" applyFont="1" applyFill="1" applyBorder="1" applyAlignment="1">
      <alignment horizontal="center" vertical="center"/>
    </xf>
  </cellXfs>
  <cellStyles count="1">
    <cellStyle name="Normal" xfId="0" builtinId="0"/>
  </cellStyles>
  <dxfs count="14">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TABLE'!$A$4:$A$6</c:f>
              <c:strCache>
                <c:ptCount val="2"/>
                <c:pt idx="0">
                  <c:v>Clothing</c:v>
                </c:pt>
                <c:pt idx="1">
                  <c:v>Electronics</c:v>
                </c:pt>
              </c:strCache>
            </c:strRef>
          </c:cat>
          <c:val>
            <c:numRef>
              <c:f>'PIVOT TABLE'!$B$4:$B$6</c:f>
              <c:numCache>
                <c:formatCode>General</c:formatCode>
                <c:ptCount val="2"/>
                <c:pt idx="0">
                  <c:v>27700</c:v>
                </c:pt>
                <c:pt idx="1">
                  <c:v>199000</c:v>
                </c:pt>
              </c:numCache>
            </c:numRef>
          </c:val>
          <c:extLst>
            <c:ext xmlns:c16="http://schemas.microsoft.com/office/drawing/2014/chart" uri="{C3380CC4-5D6E-409C-BE32-E72D297353CC}">
              <c16:uniqueId val="{00000000-ACD0-452F-B510-C59051350183}"/>
            </c:ext>
          </c:extLst>
        </c:ser>
        <c:dLbls>
          <c:dLblPos val="outEnd"/>
          <c:showLegendKey val="0"/>
          <c:showVal val="1"/>
          <c:showCatName val="0"/>
          <c:showSerName val="0"/>
          <c:showPercent val="0"/>
          <c:showBubbleSize val="0"/>
        </c:dLbls>
        <c:gapWidth val="219"/>
        <c:overlap val="-27"/>
        <c:axId val="342914568"/>
        <c:axId val="342911616"/>
      </c:barChart>
      <c:catAx>
        <c:axId val="342914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2911616"/>
        <c:crosses val="autoZero"/>
        <c:auto val="1"/>
        <c:lblAlgn val="ctr"/>
        <c:lblOffset val="100"/>
        <c:noMultiLvlLbl val="0"/>
      </c:catAx>
      <c:valAx>
        <c:axId val="342911616"/>
        <c:scaling>
          <c:orientation val="minMax"/>
        </c:scaling>
        <c:delete val="1"/>
        <c:axPos val="l"/>
        <c:numFmt formatCode="General" sourceLinked="1"/>
        <c:majorTickMark val="none"/>
        <c:minorTickMark val="none"/>
        <c:tickLblPos val="nextTo"/>
        <c:crossAx val="342914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[SalesData.xlsm]PIVOT TABLE!PivotTable2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Renevue</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'PIVOT TABLE'!$E$3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EF-4A7E-9901-7B80BF7C17EC}"/>
              </c:ext>
            </c:extLst>
          </c:dPt>
          <c:dPt>
            <c:idx val="1"/>
            <c:bubble3D val="0"/>
            <c:explosion val="1"/>
            <c:spPr>
              <a:solidFill>
                <a:schemeClr val="accent2"/>
              </a:solidFill>
              <a:ln w="19050">
                <a:solidFill>
                  <a:schemeClr val="lt1"/>
                </a:solidFill>
              </a:ln>
              <a:effectLst/>
            </c:spPr>
            <c:extLst>
              <c:ext xmlns:c16="http://schemas.microsoft.com/office/drawing/2014/chart" uri="{C3380CC4-5D6E-409C-BE32-E72D297353CC}">
                <c16:uniqueId val="{00000003-45EF-4A7E-9901-7B80BF7C17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EF-4A7E-9901-7B80BF7C17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EF-4A7E-9901-7B80BF7C17E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East</c:v>
                </c:pt>
                <c:pt idx="1">
                  <c:v>North</c:v>
                </c:pt>
                <c:pt idx="2">
                  <c:v>South</c:v>
                </c:pt>
                <c:pt idx="3">
                  <c:v>West</c:v>
                </c:pt>
              </c:strCache>
            </c:strRef>
          </c:cat>
          <c:val>
            <c:numRef>
              <c:f>'PIVOT TABLE'!$E$4:$E$8</c:f>
              <c:numCache>
                <c:formatCode>General</c:formatCode>
                <c:ptCount val="4"/>
                <c:pt idx="0">
                  <c:v>73000</c:v>
                </c:pt>
                <c:pt idx="1">
                  <c:v>126000</c:v>
                </c:pt>
                <c:pt idx="2">
                  <c:v>15000</c:v>
                </c:pt>
                <c:pt idx="3">
                  <c:v>12700</c:v>
                </c:pt>
              </c:numCache>
            </c:numRef>
          </c:val>
          <c:extLst>
            <c:ext xmlns:c16="http://schemas.microsoft.com/office/drawing/2014/chart" uri="{C3380CC4-5D6E-409C-BE32-E72D297353CC}">
              <c16:uniqueId val="{00000008-45EF-4A7E-9901-7B80BF7C17E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[SalesData.xlsm]PIVOT TABLE!PivotTable3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Dates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TABLE'!$H$3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TABLE'!$G$4:$G$10</c:f>
              <c:strCache>
                <c:ptCount val="6"/>
                <c:pt idx="0">
                  <c:v>01-02-2026</c:v>
                </c:pt>
                <c:pt idx="1">
                  <c:v>02-02-2026</c:v>
                </c:pt>
                <c:pt idx="2">
                  <c:v>03-02-2026</c:v>
                </c:pt>
                <c:pt idx="3">
                  <c:v>04-02-2026</c:v>
                </c:pt>
                <c:pt idx="4">
                  <c:v>05-02-2026</c:v>
                </c:pt>
                <c:pt idx="5">
                  <c:v>06-02-2026</c:v>
                </c:pt>
              </c:strCache>
            </c:strRef>
          </c:cat>
          <c:val>
            <c:numRef>
              <c:f>'PIVOT TABLE'!$H$4:$H$10</c:f>
              <c:numCache>
                <c:formatCode>General</c:formatCode>
                <c:ptCount val="6"/>
                <c:pt idx="0">
                  <c:v>104500</c:v>
                </c:pt>
                <c:pt idx="1">
                  <c:v>34000</c:v>
                </c:pt>
                <c:pt idx="2">
                  <c:v>11000</c:v>
                </c:pt>
                <c:pt idx="3">
                  <c:v>46000</c:v>
                </c:pt>
                <c:pt idx="4">
                  <c:v>23200</c:v>
                </c:pt>
                <c:pt idx="5">
                  <c:v>8000</c:v>
                </c:pt>
              </c:numCache>
            </c:numRef>
          </c:val>
          <c:smooth val="0"/>
          <c:extLst>
            <c:ext xmlns:c16="http://schemas.microsoft.com/office/drawing/2014/chart" uri="{C3380CC4-5D6E-409C-BE32-E72D297353CC}">
              <c16:uniqueId val="{00000000-4291-4D8E-A10F-57EE4A8620F1}"/>
            </c:ext>
          </c:extLst>
        </c:ser>
        <c:dLbls>
          <c:dLblPos val="t"/>
          <c:showLegendKey val="0"/>
          <c:showVal val="1"/>
          <c:showCatName val="0"/>
          <c:showSerName val="0"/>
          <c:showPercent val="0"/>
          <c:showBubbleSize val="0"/>
        </c:dLbls>
        <c:smooth val="0"/>
        <c:axId val="558406720"/>
        <c:axId val="558409016"/>
      </c:lineChart>
      <c:catAx>
        <c:axId val="558406720"/>
        <c:scaling>
          <c:orientation val="minMax"/>
        </c:scaling>
        <c:delete val="1"/>
        <c:axPos val="b"/>
        <c:numFmt formatCode="General" sourceLinked="1"/>
        <c:majorTickMark val="none"/>
        <c:minorTickMark val="none"/>
        <c:tickLblPos val="nextTo"/>
        <c:crossAx val="558409016"/>
        <c:crosses val="autoZero"/>
        <c:auto val="1"/>
        <c:lblAlgn val="ctr"/>
        <c:lblOffset val="100"/>
        <c:noMultiLvlLbl val="0"/>
      </c:catAx>
      <c:valAx>
        <c:axId val="558409016"/>
        <c:scaling>
          <c:orientation val="minMax"/>
        </c:scaling>
        <c:delete val="1"/>
        <c:axPos val="l"/>
        <c:numFmt formatCode="General" sourceLinked="1"/>
        <c:majorTickMark val="none"/>
        <c:minorTickMark val="none"/>
        <c:tickLblPos val="nextTo"/>
        <c:crossAx val="558406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[SalesData.xlsm]PIVOT TABLE!PivotTable4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SalesPerson</a:t>
            </a:r>
            <a:endParaRPr lang="en-US"/>
          </a:p>
        </c:rich>
      </c:tx>
      <c:layout>
        <c:manualLayout>
          <c:xMode val="edge"/>
          <c:yMode val="edge"/>
          <c:x val="0.29921805555555553"/>
          <c:y val="1.51190476190476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29768518518518"/>
          <c:y val="0.47335778198209427"/>
          <c:w val="0.85336435185185189"/>
          <c:h val="0.47120572942215239"/>
        </c:manualLayout>
      </c:layout>
      <c:barChart>
        <c:barDir val="bar"/>
        <c:grouping val="clustered"/>
        <c:varyColors val="0"/>
        <c:ser>
          <c:idx val="0"/>
          <c:order val="0"/>
          <c:tx>
            <c:strRef>
              <c:f>'PIVOT TABLE'!$K$3</c:f>
              <c:strCache>
                <c:ptCount val="1"/>
                <c:pt idx="0">
                  <c:v>Total</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TABLE'!$J$4:$J$6</c:f>
              <c:strCache>
                <c:ptCount val="2"/>
                <c:pt idx="0">
                  <c:v>Cash</c:v>
                </c:pt>
                <c:pt idx="1">
                  <c:v>Online</c:v>
                </c:pt>
              </c:strCache>
            </c:strRef>
          </c:cat>
          <c:val>
            <c:numRef>
              <c:f>'PIVOT TABLE'!$K$4:$K$6</c:f>
              <c:numCache>
                <c:formatCode>General</c:formatCode>
                <c:ptCount val="2"/>
                <c:pt idx="0">
                  <c:v>71500</c:v>
                </c:pt>
                <c:pt idx="1">
                  <c:v>155200</c:v>
                </c:pt>
              </c:numCache>
            </c:numRef>
          </c:val>
          <c:extLst>
            <c:ext xmlns:c16="http://schemas.microsoft.com/office/drawing/2014/chart" uri="{C3380CC4-5D6E-409C-BE32-E72D297353CC}">
              <c16:uniqueId val="{00000000-2510-4D9F-A342-113CC08C4754}"/>
            </c:ext>
          </c:extLst>
        </c:ser>
        <c:dLbls>
          <c:dLblPos val="outEnd"/>
          <c:showLegendKey val="0"/>
          <c:showVal val="1"/>
          <c:showCatName val="0"/>
          <c:showSerName val="0"/>
          <c:showPercent val="0"/>
          <c:showBubbleSize val="0"/>
        </c:dLbls>
        <c:gapWidth val="182"/>
        <c:axId val="497833792"/>
        <c:axId val="497840024"/>
      </c:barChart>
      <c:catAx>
        <c:axId val="497833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40024"/>
        <c:crosses val="autoZero"/>
        <c:auto val="1"/>
        <c:lblAlgn val="ctr"/>
        <c:lblOffset val="100"/>
        <c:noMultiLvlLbl val="0"/>
      </c:catAx>
      <c:valAx>
        <c:axId val="497840024"/>
        <c:scaling>
          <c:orientation val="minMax"/>
        </c:scaling>
        <c:delete val="1"/>
        <c:axPos val="b"/>
        <c:numFmt formatCode="General" sourceLinked="1"/>
        <c:majorTickMark val="none"/>
        <c:minorTickMark val="none"/>
        <c:tickLblPos val="nextTo"/>
        <c:crossAx val="497833792"/>
        <c:crosses val="autoZero"/>
        <c:crossBetween val="between"/>
      </c:valAx>
      <c:spPr>
        <a:noFill/>
        <a:ln>
          <a:solidFill>
            <a:schemeClr val="accent1"/>
          </a:solidFill>
        </a:ln>
        <a:effectLst>
          <a:glow>
            <a:schemeClr val="accent1">
              <a:alpha val="40000"/>
            </a:schemeClr>
          </a:glow>
          <a:softEdge rad="2413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[SalesData.xlsm]PIVOT TABLE!PivotTable5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rgbClr val="FFFF00"/>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FF00"/>
          </a:solidFill>
          <a:ln w="25400">
            <a:solidFill>
              <a:schemeClr val="lt1"/>
            </a:solidFill>
          </a:ln>
          <a:effectLst/>
          <a:sp3d contourW="25400">
            <a:contourClr>
              <a:schemeClr val="lt1"/>
            </a:contourClr>
          </a:sp3d>
        </c:spPr>
      </c:pivotFmt>
      <c:pivotFmt>
        <c:idx val="6"/>
        <c:spPr>
          <a:solidFill>
            <a:schemeClr val="accent2">
              <a:lumMod val="60000"/>
              <a:lumOff val="40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305555555555557"/>
          <c:y val="0.27144206349206351"/>
          <c:w val="0.77210648148148153"/>
          <c:h val="0.6188392857142857"/>
        </c:manualLayout>
      </c:layout>
      <c:pie3DChart>
        <c:varyColors val="1"/>
        <c:ser>
          <c:idx val="0"/>
          <c:order val="0"/>
          <c:tx>
            <c:strRef>
              <c:f>'PIVOT TABLE'!$N$3</c:f>
              <c:strCache>
                <c:ptCount val="1"/>
                <c:pt idx="0">
                  <c:v>Total</c:v>
                </c:pt>
              </c:strCache>
            </c:strRef>
          </c:tx>
          <c:spPr>
            <a:solidFill>
              <a:srgbClr val="FFFF00"/>
            </a:solidFill>
          </c:spPr>
          <c:dPt>
            <c:idx val="0"/>
            <c:bubble3D val="0"/>
            <c:spPr>
              <a:solidFill>
                <a:srgbClr val="FFFF00"/>
              </a:solidFill>
              <a:ln w="25400">
                <a:solidFill>
                  <a:schemeClr val="lt1"/>
                </a:solidFill>
              </a:ln>
              <a:effectLst/>
              <a:sp3d contourW="25400">
                <a:contourClr>
                  <a:schemeClr val="lt1"/>
                </a:contourClr>
              </a:sp3d>
            </c:spPr>
            <c:extLst>
              <c:ext xmlns:c16="http://schemas.microsoft.com/office/drawing/2014/chart" uri="{C3380CC4-5D6E-409C-BE32-E72D297353CC}">
                <c16:uniqueId val="{00000001-900D-4FDC-BEED-86CA75DB91F5}"/>
              </c:ext>
            </c:extLst>
          </c:dPt>
          <c:dPt>
            <c:idx val="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900D-4FDC-BEED-86CA75DB91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TABLE'!$M$4:$M$6</c:f>
              <c:strCache>
                <c:ptCount val="2"/>
                <c:pt idx="0">
                  <c:v>Clothing</c:v>
                </c:pt>
                <c:pt idx="1">
                  <c:v>Electronics</c:v>
                </c:pt>
              </c:strCache>
            </c:strRef>
          </c:cat>
          <c:val>
            <c:numRef>
              <c:f>'PIVOT TABLE'!$N$4:$N$6</c:f>
              <c:numCache>
                <c:formatCode>General</c:formatCode>
                <c:ptCount val="2"/>
                <c:pt idx="0">
                  <c:v>27700</c:v>
                </c:pt>
                <c:pt idx="1">
                  <c:v>199000</c:v>
                </c:pt>
              </c:numCache>
            </c:numRef>
          </c:val>
          <c:extLst>
            <c:ext xmlns:c16="http://schemas.microsoft.com/office/drawing/2014/chart" uri="{C3380CC4-5D6E-409C-BE32-E72D297353CC}">
              <c16:uniqueId val="{00000004-900D-4FDC-BEED-86CA75DB91F5}"/>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19051</xdr:colOff>
      <xdr:row>1</xdr:row>
      <xdr:rowOff>0</xdr:rowOff>
    </xdr:from>
    <xdr:to>
      <xdr:col>11</xdr:col>
      <xdr:colOff>73211</xdr:colOff>
      <xdr:row>14</xdr:row>
      <xdr:rowOff>43500</xdr:rowOff>
    </xdr:to>
    <xdr:graphicFrame macro="">
      <xdr:nvGraphicFramePr>
        <xdr:cNvPr id="5" name="Chart 4">
          <a:extLst>
            <a:ext uri="{FF2B5EF4-FFF2-40B4-BE49-F238E27FC236}">
              <a16:creationId xmlns:a16="http://schemas.microsoft.com/office/drawing/2014/main" id="{4EB0AB31-F8F7-42C9-A482-7782D6FE13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600075</xdr:colOff>
      <xdr:row>14</xdr:row>
      <xdr:rowOff>180975</xdr:rowOff>
    </xdr:from>
    <xdr:to>
      <xdr:col>19</xdr:col>
      <xdr:colOff>119475</xdr:colOff>
      <xdr:row>28</xdr:row>
      <xdr:rowOff>33975</xdr:rowOff>
    </xdr:to>
    <xdr:graphicFrame macro="">
      <xdr:nvGraphicFramePr>
        <xdr:cNvPr id="6" name="Chart 5">
          <a:extLst>
            <a:ext uri="{FF2B5EF4-FFF2-40B4-BE49-F238E27FC236}">
              <a16:creationId xmlns:a16="http://schemas.microsoft.com/office/drawing/2014/main" id="{DB950FFD-41C6-45C1-BB66-BD755327EE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1</xdr:row>
      <xdr:rowOff>0</xdr:rowOff>
    </xdr:from>
    <xdr:to>
      <xdr:col>19</xdr:col>
      <xdr:colOff>129000</xdr:colOff>
      <xdr:row>14</xdr:row>
      <xdr:rowOff>43500</xdr:rowOff>
    </xdr:to>
    <xdr:graphicFrame macro="">
      <xdr:nvGraphicFramePr>
        <xdr:cNvPr id="7" name="Chart 6">
          <a:extLst>
            <a:ext uri="{FF2B5EF4-FFF2-40B4-BE49-F238E27FC236}">
              <a16:creationId xmlns:a16="http://schemas.microsoft.com/office/drawing/2014/main" id="{86B13D71-8285-4046-8505-601E17E29A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1</xdr:row>
      <xdr:rowOff>81643</xdr:rowOff>
    </xdr:from>
    <xdr:to>
      <xdr:col>27</xdr:col>
      <xdr:colOff>52800</xdr:colOff>
      <xdr:row>28</xdr:row>
      <xdr:rowOff>24450</xdr:rowOff>
    </xdr:to>
    <xdr:graphicFrame macro="">
      <xdr:nvGraphicFramePr>
        <xdr:cNvPr id="8" name="Chart 7">
          <a:extLst>
            <a:ext uri="{FF2B5EF4-FFF2-40B4-BE49-F238E27FC236}">
              <a16:creationId xmlns:a16="http://schemas.microsoft.com/office/drawing/2014/main" id="{41688F9E-7501-4122-B7E5-4E3E6C936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40822</xdr:colOff>
      <xdr:row>15</xdr:row>
      <xdr:rowOff>0</xdr:rowOff>
    </xdr:from>
    <xdr:to>
      <xdr:col>11</xdr:col>
      <xdr:colOff>120836</xdr:colOff>
      <xdr:row>28</xdr:row>
      <xdr:rowOff>43500</xdr:rowOff>
    </xdr:to>
    <xdr:graphicFrame macro="">
      <xdr:nvGraphicFramePr>
        <xdr:cNvPr id="9" name="Chart 8">
          <a:extLst>
            <a:ext uri="{FF2B5EF4-FFF2-40B4-BE49-F238E27FC236}">
              <a16:creationId xmlns:a16="http://schemas.microsoft.com/office/drawing/2014/main" id="{E5D73896-5AC4-4C3E-9025-C8CC1CC5BB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14969</xdr:colOff>
      <xdr:row>1</xdr:row>
      <xdr:rowOff>23132</xdr:rowOff>
    </xdr:from>
    <xdr:to>
      <xdr:col>5</xdr:col>
      <xdr:colOff>201386</xdr:colOff>
      <xdr:row>5</xdr:row>
      <xdr:rowOff>118381</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5ED217DF-B1B6-4A1B-AED9-7177A72298C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233734" y="213632"/>
              <a:ext cx="1015652" cy="8572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15</xdr:row>
      <xdr:rowOff>1</xdr:rowOff>
    </xdr:from>
    <xdr:to>
      <xdr:col>14</xdr:col>
      <xdr:colOff>0</xdr:colOff>
      <xdr:row>22</xdr:row>
      <xdr:rowOff>114301</xdr:rowOff>
    </xdr:to>
    <mc:AlternateContent xmlns:mc="http://schemas.openxmlformats.org/markup-compatibility/2006" xmlns:a14="http://schemas.microsoft.com/office/drawing/2010/main">
      <mc:Choice Requires="a14">
        <xdr:graphicFrame macro="">
          <xdr:nvGraphicFramePr>
            <xdr:cNvPr id="13" name="Region">
              <a:extLst>
                <a:ext uri="{FF2B5EF4-FFF2-40B4-BE49-F238E27FC236}">
                  <a16:creationId xmlns:a16="http://schemas.microsoft.com/office/drawing/2014/main" id="{9873B0C0-F600-44E9-9BFE-18A2893C22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099487" y="2857501"/>
              <a:ext cx="1114425"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20411</xdr:colOff>
      <xdr:row>3</xdr:row>
      <xdr:rowOff>31297</xdr:rowOff>
    </xdr:from>
    <xdr:to>
      <xdr:col>26</xdr:col>
      <xdr:colOff>544286</xdr:colOff>
      <xdr:row>13</xdr:row>
      <xdr:rowOff>54429</xdr:rowOff>
    </xdr:to>
    <mc:AlternateContent xmlns:mc="http://schemas.openxmlformats.org/markup-compatibility/2006" xmlns:a14="http://schemas.microsoft.com/office/drawing/2010/main">
      <mc:Choice Requires="a14">
        <xdr:graphicFrame macro="">
          <xdr:nvGraphicFramePr>
            <xdr:cNvPr id="14" name="SalesPerson">
              <a:extLst>
                <a:ext uri="{FF2B5EF4-FFF2-40B4-BE49-F238E27FC236}">
                  <a16:creationId xmlns:a16="http://schemas.microsoft.com/office/drawing/2014/main" id="{A81D02C8-53DE-43BD-9496-21072757258E}"/>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4319117" y="602797"/>
              <a:ext cx="1734110" cy="19281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63954</xdr:colOff>
      <xdr:row>15</xdr:row>
      <xdr:rowOff>13608</xdr:rowOff>
    </xdr:from>
    <xdr:to>
      <xdr:col>5</xdr:col>
      <xdr:colOff>436790</xdr:colOff>
      <xdr:row>19</xdr:row>
      <xdr:rowOff>70758</xdr:rowOff>
    </xdr:to>
    <mc:AlternateContent xmlns:mc="http://schemas.openxmlformats.org/markup-compatibility/2006" xmlns:a14="http://schemas.microsoft.com/office/drawing/2010/main">
      <mc:Choice Requires="a14">
        <xdr:graphicFrame macro="">
          <xdr:nvGraphicFramePr>
            <xdr:cNvPr id="15" name="Payment">
              <a:extLst>
                <a:ext uri="{FF2B5EF4-FFF2-40B4-BE49-F238E27FC236}">
                  <a16:creationId xmlns:a16="http://schemas.microsoft.com/office/drawing/2014/main" id="{5BA5E4CE-A10D-462A-AAFC-F2793E3F5819}"/>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2282719" y="2871108"/>
              <a:ext cx="1202071" cy="819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09.677791087961" createdVersion="6" refreshedVersion="6" minRefreshableVersion="3" recordCount="12" xr:uid="{85D7AB36-EA99-4B1D-A946-07C4ED9C3736}">
  <cacheSource type="worksheet">
    <worksheetSource name="SalesData"/>
  </cacheSource>
  <cacheFields count="12">
    <cacheField name="OrderID" numFmtId="0">
      <sharedItems containsSemiMixedTypes="0" containsString="0" containsNumber="1" containsInteger="1" minValue="3001" maxValue="3012"/>
    </cacheField>
    <cacheField name="Date" numFmtId="14">
      <sharedItems containsSemiMixedTypes="0" containsNonDate="0" containsDate="1" containsString="0" minDate="2026-02-01T00:00:00" maxDate="2026-02-07T00:00:00" count="6">
        <d v="2026-02-01T00:00:00"/>
        <d v="2026-02-02T00:00:00"/>
        <d v="2026-02-03T00:00:00"/>
        <d v="2026-02-04T00:00:00"/>
        <d v="2026-02-05T00:00:00"/>
        <d v="2026-02-06T00:00:00"/>
      </sharedItems>
    </cacheField>
    <cacheField name="Product" numFmtId="0">
      <sharedItems/>
    </cacheField>
    <cacheField name="Category" numFmtId="0">
      <sharedItems count="2">
        <s v="Electronics"/>
        <s v="Clothing"/>
      </sharedItems>
    </cacheField>
    <cacheField name="Region" numFmtId="0">
      <sharedItems count="4">
        <s v="North"/>
        <s v="West"/>
        <s v="East"/>
        <s v="South"/>
      </sharedItems>
    </cacheField>
    <cacheField name="SalesPerson" numFmtId="0">
      <sharedItems count="8">
        <s v="Ali"/>
        <s v="Sara"/>
        <s v="John"/>
        <s v="Riya"/>
        <s v="Kabir"/>
        <s v="Zoya"/>
        <s v="Rahul"/>
        <s v="Ayesha"/>
      </sharedItems>
    </cacheField>
    <cacheField name="Units" numFmtId="0">
      <sharedItems containsSemiMixedTypes="0" containsString="0" containsNumber="1" containsInteger="1" minValue="1" maxValue="4"/>
    </cacheField>
    <cacheField name="Price" numFmtId="0">
      <sharedItems containsSemiMixedTypes="0" containsString="0" containsNumber="1" containsInteger="1" minValue="800" maxValue="50000"/>
    </cacheField>
    <cacheField name="Revenue" numFmtId="0">
      <sharedItems containsSemiMixedTypes="0" containsString="0" containsNumber="1" containsInteger="1" minValue="3000" maxValue="100000"/>
    </cacheField>
    <cacheField name="Cost" numFmtId="0">
      <sharedItems containsSemiMixedTypes="0" containsString="0" containsNumber="1" containsInteger="1" minValue="1500" maxValue="70000"/>
    </cacheField>
    <cacheField name="Profit" numFmtId="0">
      <sharedItems containsSemiMixedTypes="0" containsString="0" containsNumber="1" containsInteger="1" minValue="1500" maxValue="30000"/>
    </cacheField>
    <cacheField name="Payment" numFmtId="0">
      <sharedItems count="2">
        <s v="Online"/>
        <s v="Cash"/>
      </sharedItems>
    </cacheField>
  </cacheFields>
  <extLst>
    <ext xmlns:x14="http://schemas.microsoft.com/office/spreadsheetml/2009/9/main" uri="{725AE2AE-9491-48be-B2B4-4EB974FC3084}">
      <x14:pivotCacheDefinition pivotCacheId="5540683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3001"/>
    <x v="0"/>
    <s v="Laptop"/>
    <x v="0"/>
    <x v="0"/>
    <x v="0"/>
    <n v="2"/>
    <n v="50000"/>
    <n v="100000"/>
    <n v="70000"/>
    <n v="30000"/>
    <x v="0"/>
  </r>
  <r>
    <n v="3002"/>
    <x v="0"/>
    <s v="Shirt"/>
    <x v="1"/>
    <x v="1"/>
    <x v="1"/>
    <n v="3"/>
    <n v="1500"/>
    <n v="4500"/>
    <n v="2000"/>
    <n v="2500"/>
    <x v="1"/>
  </r>
  <r>
    <n v="3003"/>
    <x v="1"/>
    <s v="Phone"/>
    <x v="0"/>
    <x v="2"/>
    <x v="2"/>
    <n v="1"/>
    <n v="30000"/>
    <n v="30000"/>
    <n v="22000"/>
    <n v="8000"/>
    <x v="0"/>
  </r>
  <r>
    <n v="3004"/>
    <x v="1"/>
    <s v="Shoes"/>
    <x v="1"/>
    <x v="3"/>
    <x v="3"/>
    <n v="2"/>
    <n v="2000"/>
    <n v="4000"/>
    <n v="2500"/>
    <n v="1500"/>
    <x v="1"/>
  </r>
  <r>
    <n v="3005"/>
    <x v="2"/>
    <s v="Headphones"/>
    <x v="0"/>
    <x v="0"/>
    <x v="4"/>
    <n v="3"/>
    <n v="2000"/>
    <n v="6000"/>
    <n v="3500"/>
    <n v="2500"/>
    <x v="0"/>
  </r>
  <r>
    <n v="3006"/>
    <x v="2"/>
    <s v="Jeans"/>
    <x v="1"/>
    <x v="1"/>
    <x v="5"/>
    <n v="2"/>
    <n v="2500"/>
    <n v="5000"/>
    <n v="3000"/>
    <n v="2000"/>
    <x v="0"/>
  </r>
  <r>
    <n v="3007"/>
    <x v="3"/>
    <s v="Tablet"/>
    <x v="0"/>
    <x v="2"/>
    <x v="6"/>
    <n v="1"/>
    <n v="40000"/>
    <n v="40000"/>
    <n v="30000"/>
    <n v="10000"/>
    <x v="1"/>
  </r>
  <r>
    <n v="3008"/>
    <x v="3"/>
    <s v="Jacket"/>
    <x v="1"/>
    <x v="3"/>
    <x v="7"/>
    <n v="2"/>
    <n v="3000"/>
    <n v="6000"/>
    <n v="3500"/>
    <n v="2500"/>
    <x v="0"/>
  </r>
  <r>
    <n v="3009"/>
    <x v="4"/>
    <s v="Monitor"/>
    <x v="0"/>
    <x v="0"/>
    <x v="0"/>
    <n v="1"/>
    <n v="20000"/>
    <n v="20000"/>
    <n v="15000"/>
    <n v="5000"/>
    <x v="1"/>
  </r>
  <r>
    <n v="3010"/>
    <x v="4"/>
    <s v="T-shirt"/>
    <x v="1"/>
    <x v="1"/>
    <x v="1"/>
    <n v="4"/>
    <n v="800"/>
    <n v="3200"/>
    <n v="1500"/>
    <n v="1700"/>
    <x v="0"/>
  </r>
  <r>
    <n v="3011"/>
    <x v="5"/>
    <s v="Keyboard"/>
    <x v="0"/>
    <x v="2"/>
    <x v="2"/>
    <n v="3"/>
    <n v="1000"/>
    <n v="3000"/>
    <n v="1500"/>
    <n v="1500"/>
    <x v="1"/>
  </r>
  <r>
    <n v="3012"/>
    <x v="5"/>
    <s v="Hoodie"/>
    <x v="1"/>
    <x v="3"/>
    <x v="3"/>
    <n v="2"/>
    <n v="2500"/>
    <n v="5000"/>
    <n v="3000"/>
    <n v="2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3EE8B6-2BA6-421B-8DFF-595CD51E5557}"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Payment">
  <location ref="M3:N6" firstHeaderRow="1" firstDataRow="1" firstDataCol="1"/>
  <pivotFields count="12">
    <pivotField showAll="0"/>
    <pivotField numFmtId="14" showAll="0">
      <items count="7">
        <item x="0"/>
        <item x="1"/>
        <item x="2"/>
        <item x="3"/>
        <item x="4"/>
        <item x="5"/>
        <item t="default"/>
      </items>
    </pivotField>
    <pivotField showAll="0"/>
    <pivotField axis="axisRow" showAll="0">
      <items count="3">
        <item x="1"/>
        <item x="0"/>
        <item t="default"/>
      </items>
    </pivotField>
    <pivotField showAll="0">
      <items count="5">
        <item x="2"/>
        <item x="0"/>
        <item x="3"/>
        <item x="1"/>
        <item t="default"/>
      </items>
    </pivotField>
    <pivotField showAll="0">
      <items count="9">
        <item x="0"/>
        <item x="7"/>
        <item x="2"/>
        <item x="4"/>
        <item x="6"/>
        <item x="3"/>
        <item x="1"/>
        <item x="5"/>
        <item t="default"/>
      </items>
    </pivotField>
    <pivotField showAll="0"/>
    <pivotField showAll="0"/>
    <pivotField dataField="1" showAll="0"/>
    <pivotField showAll="0"/>
    <pivotField showAll="0"/>
    <pivotField showAll="0">
      <items count="3">
        <item x="1"/>
        <item x="0"/>
        <item t="default"/>
      </items>
    </pivotField>
  </pivotFields>
  <rowFields count="1">
    <field x="3"/>
  </rowFields>
  <rowItems count="3">
    <i>
      <x/>
    </i>
    <i>
      <x v="1"/>
    </i>
    <i t="grand">
      <x/>
    </i>
  </rowItems>
  <colItems count="1">
    <i/>
  </colItems>
  <dataFields count="1">
    <dataField name=" Revenue" fld="8" baseField="3" baseItem="0"/>
  </dataFields>
  <chartFormats count="3">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3" count="1" selected="0">
            <x v="0"/>
          </reference>
        </references>
      </pivotArea>
    </chartFormat>
    <chartFormat chart="5"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ADBBC0-2CD6-4AF4-A690-8E8B59E62639}"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SalesPerson">
  <location ref="J3:K6" firstHeaderRow="1" firstDataRow="1" firstDataCol="1"/>
  <pivotFields count="12">
    <pivotField showAll="0"/>
    <pivotField numFmtId="14" showAll="0">
      <items count="7">
        <item x="0"/>
        <item x="1"/>
        <item x="2"/>
        <item x="3"/>
        <item x="4"/>
        <item x="5"/>
        <item t="default"/>
      </items>
    </pivotField>
    <pivotField showAll="0"/>
    <pivotField showAll="0">
      <items count="3">
        <item x="1"/>
        <item x="0"/>
        <item t="default"/>
      </items>
    </pivotField>
    <pivotField showAll="0">
      <items count="5">
        <item x="2"/>
        <item x="0"/>
        <item x="3"/>
        <item x="1"/>
        <item t="default"/>
      </items>
    </pivotField>
    <pivotField showAll="0">
      <items count="9">
        <item x="0"/>
        <item x="7"/>
        <item x="2"/>
        <item x="4"/>
        <item x="6"/>
        <item x="3"/>
        <item x="1"/>
        <item x="5"/>
        <item t="default"/>
      </items>
    </pivotField>
    <pivotField showAll="0"/>
    <pivotField showAll="0"/>
    <pivotField dataField="1" showAll="0"/>
    <pivotField showAll="0"/>
    <pivotField showAll="0"/>
    <pivotField axis="axisRow" showAll="0">
      <items count="3">
        <item x="1"/>
        <item x="0"/>
        <item t="default"/>
      </items>
    </pivotField>
  </pivotFields>
  <rowFields count="1">
    <field x="11"/>
  </rowFields>
  <rowItems count="3">
    <i>
      <x/>
    </i>
    <i>
      <x v="1"/>
    </i>
    <i t="grand">
      <x/>
    </i>
  </rowItems>
  <colItems count="1">
    <i/>
  </colItems>
  <dataFields count="1">
    <dataField name=" Revenue" fld="8" baseField="3"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B14E74-0C3F-439D-A3CF-60D8268A9995}"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rowHeaderCaption="Date">
  <location ref="G3:H10" firstHeaderRow="1" firstDataRow="1" firstDataCol="1"/>
  <pivotFields count="12">
    <pivotField showAll="0"/>
    <pivotField axis="axisRow" numFmtId="14" showAll="0">
      <items count="7">
        <item x="0"/>
        <item x="1"/>
        <item x="2"/>
        <item x="3"/>
        <item x="4"/>
        <item x="5"/>
        <item t="default"/>
      </items>
    </pivotField>
    <pivotField showAll="0"/>
    <pivotField showAll="0">
      <items count="3">
        <item x="1"/>
        <item x="0"/>
        <item t="default"/>
      </items>
    </pivotField>
    <pivotField showAll="0">
      <items count="5">
        <item x="2"/>
        <item x="0"/>
        <item x="3"/>
        <item x="1"/>
        <item t="default"/>
      </items>
    </pivotField>
    <pivotField showAll="0">
      <items count="9">
        <item x="0"/>
        <item x="7"/>
        <item x="2"/>
        <item x="4"/>
        <item x="6"/>
        <item x="3"/>
        <item x="1"/>
        <item x="5"/>
        <item t="default"/>
      </items>
    </pivotField>
    <pivotField showAll="0"/>
    <pivotField showAll="0"/>
    <pivotField dataField="1" showAll="0"/>
    <pivotField showAll="0"/>
    <pivotField showAll="0"/>
    <pivotField showAll="0">
      <items count="3">
        <item x="1"/>
        <item x="0"/>
        <item t="default"/>
      </items>
    </pivotField>
  </pivotFields>
  <rowFields count="1">
    <field x="1"/>
  </rowFields>
  <rowItems count="7">
    <i>
      <x/>
    </i>
    <i>
      <x v="1"/>
    </i>
    <i>
      <x v="2"/>
    </i>
    <i>
      <x v="3"/>
    </i>
    <i>
      <x v="4"/>
    </i>
    <i>
      <x v="5"/>
    </i>
    <i t="grand">
      <x/>
    </i>
  </rowItems>
  <colItems count="1">
    <i/>
  </colItems>
  <dataFields count="1">
    <dataField name=" Revenue" fld="8" baseField="3"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E18B04-1469-4EAE-9397-F4DC19791A7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Region">
  <location ref="D3:E8" firstHeaderRow="1" firstDataRow="1" firstDataCol="1"/>
  <pivotFields count="12">
    <pivotField showAll="0"/>
    <pivotField numFmtId="14" showAll="0">
      <items count="7">
        <item x="0"/>
        <item x="1"/>
        <item x="2"/>
        <item x="3"/>
        <item x="4"/>
        <item x="5"/>
        <item t="default"/>
      </items>
    </pivotField>
    <pivotField showAll="0"/>
    <pivotField showAll="0">
      <items count="3">
        <item x="1"/>
        <item x="0"/>
        <item t="default"/>
      </items>
    </pivotField>
    <pivotField axis="axisRow" showAll="0">
      <items count="5">
        <item x="2"/>
        <item x="0"/>
        <item x="3"/>
        <item x="1"/>
        <item t="default"/>
      </items>
    </pivotField>
    <pivotField showAll="0">
      <items count="9">
        <item x="0"/>
        <item x="7"/>
        <item x="2"/>
        <item x="4"/>
        <item x="6"/>
        <item x="3"/>
        <item x="1"/>
        <item x="5"/>
        <item t="default"/>
      </items>
    </pivotField>
    <pivotField showAll="0"/>
    <pivotField showAll="0"/>
    <pivotField dataField="1" showAll="0"/>
    <pivotField showAll="0"/>
    <pivotField showAll="0"/>
    <pivotField showAll="0">
      <items count="3">
        <item x="1"/>
        <item x="0"/>
        <item t="default"/>
      </items>
    </pivotField>
  </pivotFields>
  <rowFields count="1">
    <field x="4"/>
  </rowFields>
  <rowItems count="5">
    <i>
      <x/>
    </i>
    <i>
      <x v="1"/>
    </i>
    <i>
      <x v="2"/>
    </i>
    <i>
      <x v="3"/>
    </i>
    <i t="grand">
      <x/>
    </i>
  </rowItems>
  <colItems count="1">
    <i/>
  </colItems>
  <dataFields count="1">
    <dataField name=" Revenue" fld="8" baseField="3" baseItem="0"/>
  </dataFields>
  <chartFormats count="5">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4" count="1" selected="0">
            <x v="0"/>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2"/>
          </reference>
        </references>
      </pivotArea>
    </chartFormat>
    <chartFormat chart="6" format="10">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48A111F-14FA-4228-852B-6A5782C289EE}"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Category">
  <location ref="A3:B6" firstHeaderRow="1" firstDataRow="1" firstDataCol="1"/>
  <pivotFields count="12">
    <pivotField showAll="0"/>
    <pivotField numFmtId="14" showAll="0">
      <items count="7">
        <item x="0"/>
        <item x="1"/>
        <item x="2"/>
        <item x="3"/>
        <item x="4"/>
        <item x="5"/>
        <item t="default"/>
      </items>
    </pivotField>
    <pivotField showAll="0"/>
    <pivotField axis="axisRow" showAll="0">
      <items count="3">
        <item x="1"/>
        <item x="0"/>
        <item t="default"/>
      </items>
    </pivotField>
    <pivotField showAll="0">
      <items count="5">
        <item x="2"/>
        <item x="0"/>
        <item x="3"/>
        <item x="1"/>
        <item t="default"/>
      </items>
    </pivotField>
    <pivotField showAll="0">
      <items count="9">
        <item x="0"/>
        <item x="7"/>
        <item x="2"/>
        <item x="4"/>
        <item x="6"/>
        <item x="3"/>
        <item x="1"/>
        <item x="5"/>
        <item t="default"/>
      </items>
    </pivotField>
    <pivotField showAll="0"/>
    <pivotField showAll="0"/>
    <pivotField dataField="1" showAll="0"/>
    <pivotField showAll="0"/>
    <pivotField showAll="0"/>
    <pivotField showAll="0">
      <items count="3">
        <item x="1"/>
        <item x="0"/>
        <item t="default"/>
      </items>
    </pivotField>
  </pivotFields>
  <rowFields count="1">
    <field x="3"/>
  </rowFields>
  <rowItems count="3">
    <i>
      <x/>
    </i>
    <i>
      <x v="1"/>
    </i>
    <i t="grand">
      <x/>
    </i>
  </rowItems>
  <colItems count="1">
    <i/>
  </colItems>
  <dataFields count="1">
    <dataField name=" Revenue" fld="8" baseField="3" baseItem="0"/>
  </dataFields>
  <chartFormats count="3">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123BBF1-7A30-4141-8ABF-3E6E51B717A2}" sourceName="Category">
  <pivotTables>
    <pivotTable tabId="3" name="PivotTable1"/>
    <pivotTable tabId="3" name="PivotTable2"/>
    <pivotTable tabId="3" name="PivotTable3"/>
    <pivotTable tabId="3" name="PivotTable4"/>
    <pivotTable tabId="3" name="PivotTable5"/>
  </pivotTables>
  <data>
    <tabular pivotCacheId="554068369">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B2A62C0-3CC2-4BB1-8606-7CBA76169196}" sourceName="Region">
  <pivotTables>
    <pivotTable tabId="3" name="PivotTable1"/>
    <pivotTable tabId="3" name="PivotTable2"/>
    <pivotTable tabId="3" name="PivotTable3"/>
    <pivotTable tabId="3" name="PivotTable4"/>
    <pivotTable tabId="3" name="PivotTable5"/>
  </pivotTables>
  <data>
    <tabular pivotCacheId="554068369">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7B5DD86A-1258-48F7-8787-7C22E98E5F5F}" sourceName="SalesPerson">
  <pivotTables>
    <pivotTable tabId="3" name="PivotTable1"/>
    <pivotTable tabId="3" name="PivotTable2"/>
    <pivotTable tabId="3" name="PivotTable3"/>
    <pivotTable tabId="3" name="PivotTable4"/>
    <pivotTable tabId="3" name="PivotTable5"/>
  </pivotTables>
  <data>
    <tabular pivotCacheId="554068369">
      <items count="8">
        <i x="0" s="1"/>
        <i x="7" s="1"/>
        <i x="2" s="1"/>
        <i x="4" s="1"/>
        <i x="6" s="1"/>
        <i x="3" s="1"/>
        <i x="1"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B1522280-CF34-4EDC-94E3-03405C922A76}" sourceName="Payment">
  <pivotTables>
    <pivotTable tabId="3" name="PivotTable1"/>
    <pivotTable tabId="3" name="PivotTable2"/>
    <pivotTable tabId="3" name="PivotTable3"/>
    <pivotTable tabId="3" name="PivotTable4"/>
    <pivotTable tabId="3" name="PivotTable5"/>
  </pivotTables>
  <data>
    <tabular pivotCacheId="554068369" crossFilter="showItemsWithNoData">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A7B3304-9B74-4076-970D-1FE7A12EFE7C}" cache="Slicer_Category" caption="Category" rowHeight="180000"/>
  <slicer name="Region" xr10:uid="{B3F70E38-5269-48AB-9A5D-B7F182621990}" cache="Slicer_Region" caption="Region" rowHeight="241300"/>
  <slicer name="SalesPerson" xr10:uid="{C0F4B5ED-7CC2-4380-8E90-949948B22817}" cache="Slicer_SalesPerson" caption="SalesPerson" rowHeight="144000"/>
  <slicer name="Payment" xr10:uid="{7ABE753F-AF3F-4339-983D-A717C1BE6F08}" cache="Slicer_Payment" caption="Payment" style="SlicerStyleLight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31AED5-4393-4C8A-A87F-60485A036BFC}" name="SalesData" displayName="SalesData" ref="A1:L13" totalsRowShown="0" headerRowDxfId="13" dataDxfId="12">
  <autoFilter ref="A1:L13" xr:uid="{4BC72995-F0FB-4950-999D-7FFF47B0B601}"/>
  <tableColumns count="12">
    <tableColumn id="1" xr3:uid="{975E8906-9EEA-4CC4-B280-D321B799E6AC}" name="OrderID" dataDxfId="11"/>
    <tableColumn id="2" xr3:uid="{D31AC51F-BAD0-47BF-9CCA-9B6FD876CAC0}" name="Date" dataDxfId="10"/>
    <tableColumn id="3" xr3:uid="{29DC503B-8815-4A2F-99AE-5D0227EFFD62}" name="Product" dataDxfId="9"/>
    <tableColumn id="4" xr3:uid="{507E08C3-D2CB-4915-8476-AB791DD37615}" name="Category" dataDxfId="8"/>
    <tableColumn id="5" xr3:uid="{E3A7B271-FF0C-4DD9-A757-AEB3DFFD9487}" name="Region" dataDxfId="7"/>
    <tableColumn id="6" xr3:uid="{33BF67E6-E7AA-4F91-80E8-66AA4E52ACD1}" name="SalesPerson" dataDxfId="6"/>
    <tableColumn id="7" xr3:uid="{DF23B089-832A-45C1-815D-B179F81D5BEF}" name="Units" dataDxfId="5"/>
    <tableColumn id="8" xr3:uid="{126ED0FE-2577-4D6B-B671-9AD3069CDA4F}" name="Price" dataDxfId="4"/>
    <tableColumn id="9" xr3:uid="{C444421E-8C4F-461A-BE98-4CEDD8D70BCB}" name="Revenue" dataDxfId="3"/>
    <tableColumn id="10" xr3:uid="{2696A454-75AE-4E52-AFB3-B2FFB762C7AF}" name="Cost" dataDxfId="2"/>
    <tableColumn id="11" xr3:uid="{F1C218A3-BC55-48E2-A92C-C37B72113D66}" name="Profit" dataDxfId="1"/>
    <tableColumn id="12" xr3:uid="{AA03B2E7-3089-4DA8-8708-B359EEE042CD}" name="Payme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1CAE9-8301-4C82-8D61-EC2D32385DA4}">
  <dimension ref="A3:N10"/>
  <sheetViews>
    <sheetView workbookViewId="0">
      <selection activeCell="M4" sqref="M3:N6"/>
    </sheetView>
  </sheetViews>
  <sheetFormatPr defaultRowHeight="15" x14ac:dyDescent="0.25"/>
  <cols>
    <col min="1" max="1" width="11.28515625" bestFit="1" customWidth="1"/>
    <col min="2" max="2" width="9.28515625" bestFit="1" customWidth="1"/>
    <col min="3" max="3" width="4.140625" customWidth="1"/>
    <col min="4" max="4" width="11.28515625" bestFit="1" customWidth="1"/>
    <col min="5" max="5" width="9.28515625" bestFit="1" customWidth="1"/>
    <col min="6" max="6" width="3.7109375" customWidth="1"/>
    <col min="7" max="7" width="11.28515625" bestFit="1" customWidth="1"/>
    <col min="8" max="8" width="9.28515625" bestFit="1" customWidth="1"/>
    <col min="9" max="9" width="4.42578125" customWidth="1"/>
    <col min="10" max="10" width="14" bestFit="1" customWidth="1"/>
    <col min="11" max="11" width="9.28515625" bestFit="1" customWidth="1"/>
    <col min="12" max="12" width="5" customWidth="1"/>
    <col min="13" max="13" width="11.28515625" bestFit="1" customWidth="1"/>
    <col min="14" max="14" width="9.28515625" bestFit="1" customWidth="1"/>
  </cols>
  <sheetData>
    <row r="3" spans="1:14" x14ac:dyDescent="0.25">
      <c r="A3" s="5" t="s">
        <v>3</v>
      </c>
      <c r="B3" t="s">
        <v>46</v>
      </c>
      <c r="D3" s="5" t="s">
        <v>4</v>
      </c>
      <c r="E3" t="s">
        <v>46</v>
      </c>
      <c r="G3" s="5" t="s">
        <v>1</v>
      </c>
      <c r="H3" t="s">
        <v>46</v>
      </c>
      <c r="J3" s="5" t="s">
        <v>5</v>
      </c>
      <c r="K3" t="s">
        <v>46</v>
      </c>
      <c r="M3" s="5" t="s">
        <v>11</v>
      </c>
      <c r="N3" t="s">
        <v>46</v>
      </c>
    </row>
    <row r="4" spans="1:14" x14ac:dyDescent="0.25">
      <c r="A4" s="6" t="s">
        <v>18</v>
      </c>
      <c r="B4" s="7">
        <v>27700</v>
      </c>
      <c r="D4" s="6" t="s">
        <v>23</v>
      </c>
      <c r="E4" s="7">
        <v>73000</v>
      </c>
      <c r="G4" s="8">
        <v>46054</v>
      </c>
      <c r="H4" s="7">
        <v>104500</v>
      </c>
      <c r="J4" s="6" t="s">
        <v>21</v>
      </c>
      <c r="K4" s="7">
        <v>71500</v>
      </c>
      <c r="M4" s="6" t="s">
        <v>18</v>
      </c>
      <c r="N4" s="7">
        <v>27700</v>
      </c>
    </row>
    <row r="5" spans="1:14" x14ac:dyDescent="0.25">
      <c r="A5" s="6" t="s">
        <v>13</v>
      </c>
      <c r="B5" s="7">
        <v>199000</v>
      </c>
      <c r="D5" s="6" t="s">
        <v>14</v>
      </c>
      <c r="E5" s="7">
        <v>126000</v>
      </c>
      <c r="G5" s="8">
        <v>46055</v>
      </c>
      <c r="H5" s="7">
        <v>34000</v>
      </c>
      <c r="J5" s="6" t="s">
        <v>16</v>
      </c>
      <c r="K5" s="7">
        <v>155200</v>
      </c>
      <c r="M5" s="6" t="s">
        <v>13</v>
      </c>
      <c r="N5" s="7">
        <v>199000</v>
      </c>
    </row>
    <row r="6" spans="1:14" x14ac:dyDescent="0.25">
      <c r="A6" s="6" t="s">
        <v>45</v>
      </c>
      <c r="B6" s="7">
        <v>226700</v>
      </c>
      <c r="D6" s="6" t="s">
        <v>26</v>
      </c>
      <c r="E6" s="7">
        <v>15000</v>
      </c>
      <c r="G6" s="8">
        <v>46056</v>
      </c>
      <c r="H6" s="7">
        <v>11000</v>
      </c>
      <c r="J6" s="6" t="s">
        <v>45</v>
      </c>
      <c r="K6" s="7">
        <v>226700</v>
      </c>
      <c r="M6" s="6" t="s">
        <v>45</v>
      </c>
      <c r="N6" s="7">
        <v>226700</v>
      </c>
    </row>
    <row r="7" spans="1:14" x14ac:dyDescent="0.25">
      <c r="D7" s="6" t="s">
        <v>19</v>
      </c>
      <c r="E7" s="7">
        <v>12700</v>
      </c>
      <c r="G7" s="8">
        <v>46057</v>
      </c>
      <c r="H7" s="7">
        <v>46000</v>
      </c>
    </row>
    <row r="8" spans="1:14" x14ac:dyDescent="0.25">
      <c r="D8" s="6" t="s">
        <v>45</v>
      </c>
      <c r="E8" s="7">
        <v>226700</v>
      </c>
      <c r="G8" s="8">
        <v>46058</v>
      </c>
      <c r="H8" s="7">
        <v>23200</v>
      </c>
    </row>
    <row r="9" spans="1:14" x14ac:dyDescent="0.25">
      <c r="G9" s="8">
        <v>46059</v>
      </c>
      <c r="H9" s="7">
        <v>8000</v>
      </c>
    </row>
    <row r="10" spans="1:14" x14ac:dyDescent="0.25">
      <c r="G10" s="8" t="s">
        <v>45</v>
      </c>
      <c r="H10" s="7">
        <v>226700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58111-4F42-4B11-9AD4-4FDF4BD1E85E}">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194BA-BE92-4C05-B284-022DC2A38B3E}">
  <dimension ref="A1:L13"/>
  <sheetViews>
    <sheetView workbookViewId="0">
      <selection activeCell="E23" sqref="E23"/>
    </sheetView>
  </sheetViews>
  <sheetFormatPr defaultRowHeight="15" x14ac:dyDescent="0.25"/>
  <cols>
    <col min="1" max="1" width="10.140625" customWidth="1"/>
    <col min="2" max="2" width="11.85546875" customWidth="1"/>
    <col min="3" max="3" width="14.7109375" customWidth="1"/>
    <col min="4" max="4" width="12.28515625" customWidth="1"/>
    <col min="5" max="5" width="9.28515625" customWidth="1"/>
    <col min="6" max="6" width="13.85546875" customWidth="1"/>
    <col min="9" max="9" width="11" customWidth="1"/>
    <col min="12" max="12" width="11" customWidth="1"/>
  </cols>
  <sheetData>
    <row r="1" spans="1:12" x14ac:dyDescent="0.25">
      <c r="A1" s="3" t="s">
        <v>0</v>
      </c>
      <c r="B1" s="2" t="s">
        <v>1</v>
      </c>
      <c r="C1" s="2" t="s">
        <v>2</v>
      </c>
      <c r="D1" s="2" t="s">
        <v>3</v>
      </c>
      <c r="E1" s="2" t="s">
        <v>4</v>
      </c>
      <c r="F1" s="2" t="s">
        <v>5</v>
      </c>
      <c r="G1" s="2" t="s">
        <v>6</v>
      </c>
      <c r="H1" s="2" t="s">
        <v>7</v>
      </c>
      <c r="I1" s="2" t="s">
        <v>8</v>
      </c>
      <c r="J1" s="2" t="s">
        <v>9</v>
      </c>
      <c r="K1" s="2" t="s">
        <v>10</v>
      </c>
      <c r="L1" s="2" t="s">
        <v>11</v>
      </c>
    </row>
    <row r="2" spans="1:12" x14ac:dyDescent="0.25">
      <c r="A2" s="1">
        <v>3001</v>
      </c>
      <c r="B2" s="4">
        <v>46054</v>
      </c>
      <c r="C2" s="1" t="s">
        <v>12</v>
      </c>
      <c r="D2" s="1" t="s">
        <v>13</v>
      </c>
      <c r="E2" s="1" t="s">
        <v>14</v>
      </c>
      <c r="F2" s="1" t="s">
        <v>15</v>
      </c>
      <c r="G2" s="1">
        <v>2</v>
      </c>
      <c r="H2" s="1">
        <v>50000</v>
      </c>
      <c r="I2" s="1">
        <v>100000</v>
      </c>
      <c r="J2" s="1">
        <v>70000</v>
      </c>
      <c r="K2" s="1">
        <v>30000</v>
      </c>
      <c r="L2" s="1" t="s">
        <v>16</v>
      </c>
    </row>
    <row r="3" spans="1:12" x14ac:dyDescent="0.25">
      <c r="A3" s="1">
        <v>3002</v>
      </c>
      <c r="B3" s="4">
        <v>46054</v>
      </c>
      <c r="C3" s="1" t="s">
        <v>17</v>
      </c>
      <c r="D3" s="1" t="s">
        <v>18</v>
      </c>
      <c r="E3" s="1" t="s">
        <v>19</v>
      </c>
      <c r="F3" s="1" t="s">
        <v>20</v>
      </c>
      <c r="G3" s="1">
        <v>3</v>
      </c>
      <c r="H3" s="1">
        <v>1500</v>
      </c>
      <c r="I3" s="1">
        <v>4500</v>
      </c>
      <c r="J3" s="1">
        <v>2000</v>
      </c>
      <c r="K3" s="1">
        <v>2500</v>
      </c>
      <c r="L3" s="1" t="s">
        <v>21</v>
      </c>
    </row>
    <row r="4" spans="1:12" x14ac:dyDescent="0.25">
      <c r="A4" s="1">
        <v>3003</v>
      </c>
      <c r="B4" s="4">
        <v>46055</v>
      </c>
      <c r="C4" s="1" t="s">
        <v>22</v>
      </c>
      <c r="D4" s="1" t="s">
        <v>13</v>
      </c>
      <c r="E4" s="1" t="s">
        <v>23</v>
      </c>
      <c r="F4" s="1" t="s">
        <v>24</v>
      </c>
      <c r="G4" s="1">
        <v>1</v>
      </c>
      <c r="H4" s="1">
        <v>30000</v>
      </c>
      <c r="I4" s="1">
        <v>30000</v>
      </c>
      <c r="J4" s="1">
        <v>22000</v>
      </c>
      <c r="K4" s="1">
        <v>8000</v>
      </c>
      <c r="L4" s="1" t="s">
        <v>16</v>
      </c>
    </row>
    <row r="5" spans="1:12" x14ac:dyDescent="0.25">
      <c r="A5" s="1">
        <v>3004</v>
      </c>
      <c r="B5" s="4">
        <v>46055</v>
      </c>
      <c r="C5" s="1" t="s">
        <v>25</v>
      </c>
      <c r="D5" s="1" t="s">
        <v>18</v>
      </c>
      <c r="E5" s="1" t="s">
        <v>26</v>
      </c>
      <c r="F5" s="1" t="s">
        <v>27</v>
      </c>
      <c r="G5" s="1">
        <v>2</v>
      </c>
      <c r="H5" s="1">
        <v>2000</v>
      </c>
      <c r="I5" s="1">
        <v>4000</v>
      </c>
      <c r="J5" s="1">
        <v>2500</v>
      </c>
      <c r="K5" s="1">
        <v>1500</v>
      </c>
      <c r="L5" s="1" t="s">
        <v>21</v>
      </c>
    </row>
    <row r="6" spans="1:12" x14ac:dyDescent="0.25">
      <c r="A6" s="1">
        <v>3005</v>
      </c>
      <c r="B6" s="4">
        <v>46056</v>
      </c>
      <c r="C6" s="1" t="s">
        <v>28</v>
      </c>
      <c r="D6" s="1" t="s">
        <v>13</v>
      </c>
      <c r="E6" s="1" t="s">
        <v>14</v>
      </c>
      <c r="F6" s="1" t="s">
        <v>29</v>
      </c>
      <c r="G6" s="1">
        <v>3</v>
      </c>
      <c r="H6" s="1">
        <v>2000</v>
      </c>
      <c r="I6" s="1">
        <v>6000</v>
      </c>
      <c r="J6" s="1">
        <v>3500</v>
      </c>
      <c r="K6" s="1">
        <v>2500</v>
      </c>
      <c r="L6" s="1" t="s">
        <v>16</v>
      </c>
    </row>
    <row r="7" spans="1:12" x14ac:dyDescent="0.25">
      <c r="A7" s="1">
        <v>3006</v>
      </c>
      <c r="B7" s="4">
        <v>46056</v>
      </c>
      <c r="C7" s="1" t="s">
        <v>30</v>
      </c>
      <c r="D7" s="1" t="s">
        <v>18</v>
      </c>
      <c r="E7" s="1" t="s">
        <v>19</v>
      </c>
      <c r="F7" s="1" t="s">
        <v>31</v>
      </c>
      <c r="G7" s="1">
        <v>2</v>
      </c>
      <c r="H7" s="1">
        <v>2500</v>
      </c>
      <c r="I7" s="1">
        <v>5000</v>
      </c>
      <c r="J7" s="1">
        <v>3000</v>
      </c>
      <c r="K7" s="1">
        <v>2000</v>
      </c>
      <c r="L7" s="1" t="s">
        <v>16</v>
      </c>
    </row>
    <row r="8" spans="1:12" x14ac:dyDescent="0.25">
      <c r="A8" s="1">
        <v>3007</v>
      </c>
      <c r="B8" s="4">
        <v>46057</v>
      </c>
      <c r="C8" s="1" t="s">
        <v>32</v>
      </c>
      <c r="D8" s="1" t="s">
        <v>13</v>
      </c>
      <c r="E8" s="1" t="s">
        <v>23</v>
      </c>
      <c r="F8" s="1" t="s">
        <v>33</v>
      </c>
      <c r="G8" s="1">
        <v>1</v>
      </c>
      <c r="H8" s="1">
        <v>40000</v>
      </c>
      <c r="I8" s="1">
        <v>40000</v>
      </c>
      <c r="J8" s="1">
        <v>30000</v>
      </c>
      <c r="K8" s="1">
        <v>10000</v>
      </c>
      <c r="L8" s="1" t="s">
        <v>21</v>
      </c>
    </row>
    <row r="9" spans="1:12" x14ac:dyDescent="0.25">
      <c r="A9" s="1">
        <v>3008</v>
      </c>
      <c r="B9" s="4">
        <v>46057</v>
      </c>
      <c r="C9" s="1" t="s">
        <v>34</v>
      </c>
      <c r="D9" s="1" t="s">
        <v>18</v>
      </c>
      <c r="E9" s="1" t="s">
        <v>26</v>
      </c>
      <c r="F9" s="1" t="s">
        <v>35</v>
      </c>
      <c r="G9" s="1">
        <v>2</v>
      </c>
      <c r="H9" s="1">
        <v>3000</v>
      </c>
      <c r="I9" s="1">
        <v>6000</v>
      </c>
      <c r="J9" s="1">
        <v>3500</v>
      </c>
      <c r="K9" s="1">
        <v>2500</v>
      </c>
      <c r="L9" s="1" t="s">
        <v>16</v>
      </c>
    </row>
    <row r="10" spans="1:12" x14ac:dyDescent="0.25">
      <c r="A10" s="1">
        <v>3009</v>
      </c>
      <c r="B10" s="4">
        <v>46058</v>
      </c>
      <c r="C10" s="1" t="s">
        <v>36</v>
      </c>
      <c r="D10" s="1" t="s">
        <v>13</v>
      </c>
      <c r="E10" s="1" t="s">
        <v>14</v>
      </c>
      <c r="F10" s="1" t="s">
        <v>15</v>
      </c>
      <c r="G10" s="1">
        <v>1</v>
      </c>
      <c r="H10" s="1">
        <v>20000</v>
      </c>
      <c r="I10" s="1">
        <v>20000</v>
      </c>
      <c r="J10" s="1">
        <v>15000</v>
      </c>
      <c r="K10" s="1">
        <v>5000</v>
      </c>
      <c r="L10" s="1" t="s">
        <v>21</v>
      </c>
    </row>
    <row r="11" spans="1:12" x14ac:dyDescent="0.25">
      <c r="A11" s="1">
        <v>3010</v>
      </c>
      <c r="B11" s="4">
        <v>46058</v>
      </c>
      <c r="C11" s="1" t="s">
        <v>37</v>
      </c>
      <c r="D11" s="1" t="s">
        <v>18</v>
      </c>
      <c r="E11" s="1" t="s">
        <v>19</v>
      </c>
      <c r="F11" s="1" t="s">
        <v>20</v>
      </c>
      <c r="G11" s="1">
        <v>4</v>
      </c>
      <c r="H11" s="1">
        <v>800</v>
      </c>
      <c r="I11" s="1">
        <v>3200</v>
      </c>
      <c r="J11" s="1">
        <v>1500</v>
      </c>
      <c r="K11" s="1">
        <v>1700</v>
      </c>
      <c r="L11" s="1" t="s">
        <v>16</v>
      </c>
    </row>
    <row r="12" spans="1:12" x14ac:dyDescent="0.25">
      <c r="A12" s="1">
        <v>3011</v>
      </c>
      <c r="B12" s="4">
        <v>46059</v>
      </c>
      <c r="C12" s="1" t="s">
        <v>38</v>
      </c>
      <c r="D12" s="1" t="s">
        <v>13</v>
      </c>
      <c r="E12" s="1" t="s">
        <v>23</v>
      </c>
      <c r="F12" s="1" t="s">
        <v>24</v>
      </c>
      <c r="G12" s="1">
        <v>3</v>
      </c>
      <c r="H12" s="1">
        <v>1000</v>
      </c>
      <c r="I12" s="1">
        <v>3000</v>
      </c>
      <c r="J12" s="1">
        <v>1500</v>
      </c>
      <c r="K12" s="1">
        <v>1500</v>
      </c>
      <c r="L12" s="1" t="s">
        <v>21</v>
      </c>
    </row>
    <row r="13" spans="1:12" x14ac:dyDescent="0.25">
      <c r="A13" s="1">
        <v>3012</v>
      </c>
      <c r="B13" s="4">
        <v>46059</v>
      </c>
      <c r="C13" s="1" t="s">
        <v>39</v>
      </c>
      <c r="D13" s="1" t="s">
        <v>18</v>
      </c>
      <c r="E13" s="1" t="s">
        <v>26</v>
      </c>
      <c r="F13" s="1" t="s">
        <v>27</v>
      </c>
      <c r="G13" s="1">
        <v>2</v>
      </c>
      <c r="H13" s="1">
        <v>2500</v>
      </c>
      <c r="I13" s="1">
        <v>5000</v>
      </c>
      <c r="J13" s="1">
        <v>3000</v>
      </c>
      <c r="K13" s="1">
        <v>2000</v>
      </c>
      <c r="L13" s="1" t="s">
        <v>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7BA32-7C08-4646-A133-843327352811}">
  <dimension ref="B2:C30"/>
  <sheetViews>
    <sheetView showGridLines="0" showRowColHeaders="0" tabSelected="1" topLeftCell="B1" zoomScale="85" zoomScaleNormal="85" workbookViewId="0">
      <selection activeCell="D4" sqref="D4"/>
    </sheetView>
  </sheetViews>
  <sheetFormatPr defaultRowHeight="15" x14ac:dyDescent="0.25"/>
  <cols>
    <col min="1" max="1" width="3.5703125" customWidth="1"/>
    <col min="2" max="2" width="12.140625" customWidth="1"/>
    <col min="3" max="3" width="13.42578125" customWidth="1"/>
    <col min="4" max="4" width="4.140625" customWidth="1"/>
    <col min="5" max="5" width="12.42578125" customWidth="1"/>
    <col min="6" max="6" width="11.140625" customWidth="1"/>
    <col min="7" max="7" width="4.28515625" customWidth="1"/>
    <col min="8" max="9" width="10.85546875" customWidth="1"/>
    <col min="10" max="10" width="4.140625" customWidth="1"/>
    <col min="11" max="11" width="10.28515625" customWidth="1"/>
    <col min="13" max="13" width="4.5703125" customWidth="1"/>
    <col min="14" max="14" width="12.140625" customWidth="1"/>
    <col min="15" max="15" width="9.5703125" customWidth="1"/>
  </cols>
  <sheetData>
    <row r="2" spans="2:3" ht="15" customHeight="1" x14ac:dyDescent="0.25">
      <c r="B2" s="10" t="s">
        <v>40</v>
      </c>
      <c r="C2" s="10"/>
    </row>
    <row r="3" spans="2:3" ht="15" customHeight="1" x14ac:dyDescent="0.25">
      <c r="B3" s="10"/>
      <c r="C3" s="10"/>
    </row>
    <row r="4" spans="2:3" ht="15" customHeight="1" x14ac:dyDescent="0.25">
      <c r="B4" s="9">
        <f>SUM(SalesData[Revenue])</f>
        <v>226700</v>
      </c>
      <c r="C4" s="9"/>
    </row>
    <row r="5" spans="2:3" ht="15" customHeight="1" x14ac:dyDescent="0.25">
      <c r="B5" s="9"/>
      <c r="C5" s="9"/>
    </row>
    <row r="6" spans="2:3" ht="15" customHeight="1" x14ac:dyDescent="0.25">
      <c r="B6" s="9"/>
      <c r="C6" s="9"/>
    </row>
    <row r="8" spans="2:3" x14ac:dyDescent="0.25">
      <c r="B8" s="10" t="s">
        <v>41</v>
      </c>
      <c r="C8" s="10"/>
    </row>
    <row r="9" spans="2:3" x14ac:dyDescent="0.25">
      <c r="B9" s="10"/>
      <c r="C9" s="10"/>
    </row>
    <row r="10" spans="2:3" x14ac:dyDescent="0.25">
      <c r="B10" s="9">
        <f>SUM(SalesData[Profit])</f>
        <v>69200</v>
      </c>
      <c r="C10" s="9"/>
    </row>
    <row r="11" spans="2:3" x14ac:dyDescent="0.25">
      <c r="B11" s="9"/>
      <c r="C11" s="9"/>
    </row>
    <row r="12" spans="2:3" x14ac:dyDescent="0.25">
      <c r="B12" s="9"/>
      <c r="C12" s="9"/>
    </row>
    <row r="14" spans="2:3" x14ac:dyDescent="0.25">
      <c r="B14" s="10" t="s">
        <v>42</v>
      </c>
      <c r="C14" s="10"/>
    </row>
    <row r="15" spans="2:3" x14ac:dyDescent="0.25">
      <c r="B15" s="10"/>
      <c r="C15" s="10"/>
    </row>
    <row r="16" spans="2:3" x14ac:dyDescent="0.25">
      <c r="B16" s="11">
        <f>COUNTA(SalesData[OrderID])</f>
        <v>12</v>
      </c>
      <c r="C16" s="11"/>
    </row>
    <row r="17" spans="2:3" x14ac:dyDescent="0.25">
      <c r="B17" s="11"/>
      <c r="C17" s="11"/>
    </row>
    <row r="18" spans="2:3" x14ac:dyDescent="0.25">
      <c r="B18" s="11"/>
      <c r="C18" s="11"/>
    </row>
    <row r="20" spans="2:3" x14ac:dyDescent="0.25">
      <c r="B20" s="10" t="s">
        <v>43</v>
      </c>
      <c r="C20" s="10"/>
    </row>
    <row r="21" spans="2:3" x14ac:dyDescent="0.25">
      <c r="B21" s="10"/>
      <c r="C21" s="10"/>
    </row>
    <row r="22" spans="2:3" x14ac:dyDescent="0.25">
      <c r="B22" s="12">
        <f>SUM(SalesData[Units])</f>
        <v>26</v>
      </c>
      <c r="C22" s="12"/>
    </row>
    <row r="23" spans="2:3" x14ac:dyDescent="0.25">
      <c r="B23" s="12"/>
      <c r="C23" s="12"/>
    </row>
    <row r="24" spans="2:3" x14ac:dyDescent="0.25">
      <c r="B24" s="12"/>
      <c r="C24" s="12"/>
    </row>
    <row r="26" spans="2:3" x14ac:dyDescent="0.25">
      <c r="B26" s="10" t="s">
        <v>44</v>
      </c>
      <c r="C26" s="10"/>
    </row>
    <row r="27" spans="2:3" x14ac:dyDescent="0.25">
      <c r="B27" s="10"/>
      <c r="C27" s="10"/>
    </row>
    <row r="28" spans="2:3" x14ac:dyDescent="0.25">
      <c r="B28" s="9">
        <f>AVERAGE(SalesData[Profit])</f>
        <v>5766.666666666667</v>
      </c>
      <c r="C28" s="9"/>
    </row>
    <row r="29" spans="2:3" x14ac:dyDescent="0.25">
      <c r="B29" s="9"/>
      <c r="C29" s="9"/>
    </row>
    <row r="30" spans="2:3" x14ac:dyDescent="0.25">
      <c r="B30" s="9"/>
      <c r="C30" s="9"/>
    </row>
  </sheetData>
  <mergeCells count="10">
    <mergeCell ref="B28:C30"/>
    <mergeCell ref="B2:C3"/>
    <mergeCell ref="B8:C9"/>
    <mergeCell ref="B14:C15"/>
    <mergeCell ref="B20:C21"/>
    <mergeCell ref="B26:C27"/>
    <mergeCell ref="B4:C6"/>
    <mergeCell ref="B10:C12"/>
    <mergeCell ref="B16:C18"/>
    <mergeCell ref="B22:C24"/>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 TABLE</vt:lpstr>
      <vt:lpstr>CHARTS</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2026-03-28T08:50:32Z</dcterms:created>
  <dcterms:modified xsi:type="dcterms:W3CDTF">2026-03-28T13:06:25Z</dcterms:modified>
</cp:coreProperties>
</file>