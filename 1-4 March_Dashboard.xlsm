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8_{23E95F5A-F436-4E31-9592-74920328DBC9}" xr6:coauthVersionLast="36" xr6:coauthVersionMax="36" xr10:uidLastSave="{00000000-0000-0000-0000-000000000000}"/>
  <bookViews>
    <workbookView xWindow="0" yWindow="0" windowWidth="20430" windowHeight="7485" xr2:uid="{7E485A4D-3894-4537-8E04-798B7448FDD6}"/>
  </bookViews>
  <sheets>
    <sheet name="Dashboard" sheetId="2" r:id="rId1"/>
    <sheet name="Sheet1" sheetId="1" r:id="rId2"/>
  </sheets>
  <definedNames>
    <definedName name="Slicer_Category">#N/A</definedName>
  </definedNames>
  <calcPr calcId="191029"/>
  <pivotCaches>
    <pivotCache cacheId="1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2" i="1" l="1"/>
  <c r="L6" i="1"/>
  <c r="L7" i="1"/>
  <c r="L8" i="1"/>
  <c r="L9" i="1"/>
  <c r="L10" i="1"/>
  <c r="L11" i="1"/>
  <c r="L12" i="1"/>
  <c r="L13" i="1"/>
  <c r="L14" i="1"/>
  <c r="L15" i="1"/>
  <c r="L16" i="1"/>
  <c r="L17" i="1"/>
  <c r="L18" i="1"/>
  <c r="L19" i="1"/>
  <c r="L20" i="1"/>
  <c r="L21" i="1"/>
  <c r="L22" i="1"/>
  <c r="L23" i="1"/>
  <c r="L24" i="1"/>
  <c r="L25" i="1"/>
  <c r="L26" i="1"/>
  <c r="L27" i="1"/>
  <c r="L28" i="1"/>
  <c r="L29" i="1"/>
  <c r="L30" i="1"/>
  <c r="L31" i="1"/>
  <c r="L33" i="1"/>
  <c r="L5" i="1"/>
  <c r="K6" i="1"/>
  <c r="K7" i="1"/>
  <c r="K8" i="1"/>
  <c r="K9" i="1"/>
  <c r="K10" i="1"/>
  <c r="K11" i="1"/>
  <c r="K12" i="1"/>
  <c r="K13" i="1"/>
  <c r="K14" i="1"/>
  <c r="K15" i="1"/>
  <c r="K16" i="1"/>
  <c r="K17" i="1"/>
  <c r="K18" i="1"/>
  <c r="K19" i="1"/>
  <c r="K20" i="1"/>
  <c r="K21" i="1"/>
  <c r="K22" i="1"/>
  <c r="K23" i="1"/>
  <c r="K24" i="1"/>
  <c r="K25" i="1"/>
  <c r="K26" i="1"/>
  <c r="K27" i="1"/>
  <c r="K28" i="1"/>
  <c r="K29" i="1"/>
  <c r="K30" i="1"/>
  <c r="K31" i="1"/>
  <c r="L32" i="1"/>
  <c r="K33" i="1"/>
  <c r="K5" i="1"/>
</calcChain>
</file>

<file path=xl/sharedStrings.xml><?xml version="1.0" encoding="utf-8"?>
<sst xmlns="http://schemas.openxmlformats.org/spreadsheetml/2006/main" count="155" uniqueCount="73">
  <si>
    <t>S.No</t>
  </si>
  <si>
    <t>Date</t>
  </si>
  <si>
    <t xml:space="preserve">Product </t>
  </si>
  <si>
    <t>Category</t>
  </si>
  <si>
    <t>Brand</t>
  </si>
  <si>
    <t>Units</t>
  </si>
  <si>
    <t>Selling Price</t>
  </si>
  <si>
    <t>Revenue</t>
  </si>
  <si>
    <t>Payment Mode</t>
  </si>
  <si>
    <t>Cost Price</t>
  </si>
  <si>
    <t>Total Cost</t>
  </si>
  <si>
    <t>Profit</t>
  </si>
  <si>
    <t>Steel Muscial Walker</t>
  </si>
  <si>
    <t>Baby Gear</t>
  </si>
  <si>
    <t>Baby Kicks</t>
  </si>
  <si>
    <t>CASH</t>
  </si>
  <si>
    <t>Socks</t>
  </si>
  <si>
    <t>Clothing</t>
  </si>
  <si>
    <t>Little Baby</t>
  </si>
  <si>
    <t>ONLINE</t>
  </si>
  <si>
    <t>Baby Feeding Spoon</t>
  </si>
  <si>
    <t>Feeding</t>
  </si>
  <si>
    <t>Baby Shoes</t>
  </si>
  <si>
    <t>Mibbill</t>
  </si>
  <si>
    <t>Baby Daiper           [xL]</t>
  </si>
  <si>
    <t>Hygiene</t>
  </si>
  <si>
    <t>Teddy Soft</t>
  </si>
  <si>
    <t>Toys</t>
  </si>
  <si>
    <t>Horse Toy</t>
  </si>
  <si>
    <t>Local</t>
  </si>
  <si>
    <t>Clever Mice</t>
  </si>
  <si>
    <t>Baby Swipper</t>
  </si>
  <si>
    <t>Generic</t>
  </si>
  <si>
    <t>Powder Box &amp; Puff</t>
  </si>
  <si>
    <t>Baby Cear</t>
  </si>
  <si>
    <t>R.D. Rajguru</t>
  </si>
  <si>
    <t>Fruit Pacifier</t>
  </si>
  <si>
    <t>BPA</t>
  </si>
  <si>
    <t xml:space="preserve">BPA </t>
  </si>
  <si>
    <t>Jeep Car Box</t>
  </si>
  <si>
    <t>Twist &amp; Turn</t>
  </si>
  <si>
    <t>Barbi Set</t>
  </si>
  <si>
    <t>LuvLap</t>
  </si>
  <si>
    <t>Baby Daiper           [s]</t>
  </si>
  <si>
    <t>Bed with Mosq Net</t>
  </si>
  <si>
    <t>Vindo &amp; Co</t>
  </si>
  <si>
    <t>Baby Chair</t>
  </si>
  <si>
    <t>Race Car</t>
  </si>
  <si>
    <t>K.V. CO</t>
  </si>
  <si>
    <t>Baby Daiper            [L]</t>
  </si>
  <si>
    <t>Little Angle</t>
  </si>
  <si>
    <t>Baby  Wipes</t>
  </si>
  <si>
    <t>Babio</t>
  </si>
  <si>
    <t>Baby Bed with Net</t>
  </si>
  <si>
    <t>Vinod &amp; Co</t>
  </si>
  <si>
    <t>Baby Dresses</t>
  </si>
  <si>
    <t>JOJO</t>
  </si>
  <si>
    <t>Lovingle</t>
  </si>
  <si>
    <t>Baby Daiper            [M]</t>
  </si>
  <si>
    <t>Baby Daiper          [NB]</t>
  </si>
  <si>
    <t>Mami Poco Pants</t>
  </si>
  <si>
    <t>Baby Oil</t>
  </si>
  <si>
    <t>Johnsons</t>
  </si>
  <si>
    <t>Baby Wipes</t>
  </si>
  <si>
    <t>Baby Daiper          [M]</t>
  </si>
  <si>
    <t>LITTLE TWINS BABY STORE:  DAILT SALES DATA (MARCH 1-04,2026)</t>
  </si>
  <si>
    <t>Categories</t>
  </si>
  <si>
    <t xml:space="preserve">Revenue </t>
  </si>
  <si>
    <t xml:space="preserve"> Revenue</t>
  </si>
  <si>
    <t>Total Profit</t>
  </si>
  <si>
    <t xml:space="preserve">Revenue  </t>
  </si>
  <si>
    <t>Product</t>
  </si>
  <si>
    <t>LITTLE TWINS BABY STORE SALES PERFORMANCE DASHBOARD ( 1-4 MARCH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</si>
</sst>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Adobe Caslon Pro"/>
      <family val="1"/>
    </font>
    <font>
      <u/>
      <sz val="18"/>
      <color theme="4" tint="-0.249977111117893"/>
      <name val="Bodoni MT"/>
      <family val="1"/>
    </font>
    <font>
      <sz val="8"/>
      <name val="Segoe UI"/>
      <family val="2"/>
    </font>
    <font>
      <sz val="22"/>
      <color theme="1"/>
      <name val="Century Schoolbook"/>
      <family val="1"/>
    </font>
  </fonts>
  <fills count="4">
    <fill>
      <patternFill patternType="none"/>
    </fill>
    <fill>
      <patternFill patternType="gray125"/>
    </fill>
    <fill>
      <patternFill patternType="solid">
        <fgColor theme="2"/>
        <bgColor indexed="64"/>
      </patternFill>
    </fill>
    <fill>
      <patternFill patternType="solid">
        <fgColor theme="6"/>
        <bgColor indexed="64"/>
      </patternFill>
    </fill>
  </fills>
  <borders count="1">
    <border>
      <left/>
      <right/>
      <top/>
      <bottom/>
      <diagonal/>
    </border>
  </borders>
  <cellStyleXfs count="1">
    <xf numFmtId="0" fontId="0" fillId="0" borderId="0"/>
  </cellStyleXfs>
  <cellXfs count="16">
    <xf numFmtId="0" fontId="0" fillId="0" borderId="0" xfId="0"/>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2" fillId="0" borderId="0" xfId="0" applyFont="1" applyAlignment="1">
      <alignment horizontal="center"/>
    </xf>
    <xf numFmtId="0" fontId="0" fillId="0" borderId="0" xfId="0" applyAlignment="1">
      <alignment horizontal="center"/>
    </xf>
    <xf numFmtId="0" fontId="0" fillId="0" borderId="0" xfId="0" applyFill="1" applyAlignment="1">
      <alignment horizontal="left"/>
    </xf>
    <xf numFmtId="0" fontId="0" fillId="0" borderId="0" xfId="0" applyNumberFormat="1" applyFill="1"/>
    <xf numFmtId="0" fontId="0" fillId="0" borderId="0" xfId="0" applyFill="1"/>
    <xf numFmtId="14" fontId="0" fillId="0" borderId="0" xfId="0" applyNumberFormat="1" applyFill="1" applyAlignment="1">
      <alignment horizontal="left"/>
    </xf>
    <xf numFmtId="1" fontId="0" fillId="0" borderId="0" xfId="0" applyNumberFormat="1" applyFill="1"/>
    <xf numFmtId="0" fontId="0" fillId="2" borderId="0" xfId="0" applyFill="1"/>
    <xf numFmtId="0" fontId="0" fillId="3" borderId="0" xfId="0" applyFill="1" applyAlignment="1">
      <alignment horizontal="center"/>
    </xf>
    <xf numFmtId="0" fontId="4" fillId="3" borderId="0" xfId="0" applyFont="1" applyFill="1" applyAlignment="1">
      <alignment horizontal="center"/>
    </xf>
  </cellXfs>
  <cellStyles count="1">
    <cellStyle name="Normal" xfId="0" builtinId="0"/>
  </cellStyles>
  <dxfs count="35">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1" formatCode="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March_Dashboard.xlsm]Dashboard!PivotTable1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Dashboard!$A$6:$A$14</c:f>
              <c:strCache>
                <c:ptCount val="9"/>
                <c:pt idx="0">
                  <c:v>Baby Bed with Net</c:v>
                </c:pt>
                <c:pt idx="1">
                  <c:v>Baby Daiper            [M]</c:v>
                </c:pt>
                <c:pt idx="2">
                  <c:v>Baby Daiper           [s]</c:v>
                </c:pt>
                <c:pt idx="3">
                  <c:v>Baby Daiper           [xL]</c:v>
                </c:pt>
                <c:pt idx="4">
                  <c:v>Baby Dresses</c:v>
                </c:pt>
                <c:pt idx="5">
                  <c:v>Baby Swipper</c:v>
                </c:pt>
                <c:pt idx="6">
                  <c:v>Bed with Mosq Net</c:v>
                </c:pt>
                <c:pt idx="7">
                  <c:v>Jeep Car Box</c:v>
                </c:pt>
                <c:pt idx="8">
                  <c:v>Steel Muscial Walker</c:v>
                </c:pt>
              </c:strCache>
            </c:strRef>
          </c:cat>
          <c:val>
            <c:numRef>
              <c:f>Dashboard!$B$6:$B$14</c:f>
              <c:numCache>
                <c:formatCode>General</c:formatCode>
                <c:ptCount val="9"/>
                <c:pt idx="0">
                  <c:v>600</c:v>
                </c:pt>
                <c:pt idx="1">
                  <c:v>600</c:v>
                </c:pt>
                <c:pt idx="2">
                  <c:v>650</c:v>
                </c:pt>
                <c:pt idx="3">
                  <c:v>1150</c:v>
                </c:pt>
                <c:pt idx="4">
                  <c:v>1000</c:v>
                </c:pt>
                <c:pt idx="5">
                  <c:v>600</c:v>
                </c:pt>
                <c:pt idx="6">
                  <c:v>1050</c:v>
                </c:pt>
                <c:pt idx="7">
                  <c:v>600</c:v>
                </c:pt>
                <c:pt idx="8">
                  <c:v>600</c:v>
                </c:pt>
              </c:numCache>
            </c:numRef>
          </c:val>
          <c:extLst>
            <c:ext xmlns:c16="http://schemas.microsoft.com/office/drawing/2014/chart" uri="{C3380CC4-5D6E-409C-BE32-E72D297353CC}">
              <c16:uniqueId val="{00000000-50C4-4761-98BF-C09D1BDDB194}"/>
            </c:ext>
          </c:extLst>
        </c:ser>
        <c:dLbls>
          <c:showLegendKey val="0"/>
          <c:showVal val="0"/>
          <c:showCatName val="0"/>
          <c:showSerName val="0"/>
          <c:showPercent val="0"/>
          <c:showBubbleSize val="0"/>
        </c:dLbls>
        <c:gapWidth val="100"/>
        <c:overlap val="-24"/>
        <c:axId val="218465104"/>
        <c:axId val="336523568"/>
      </c:barChart>
      <c:catAx>
        <c:axId val="2184651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6523568"/>
        <c:crosses val="autoZero"/>
        <c:auto val="1"/>
        <c:lblAlgn val="ctr"/>
        <c:lblOffset val="100"/>
        <c:noMultiLvlLbl val="0"/>
      </c:catAx>
      <c:valAx>
        <c:axId val="3365235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465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March_Dashboard.xlsm]Dashboard!PivotTable3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a:noFill/>
          </a:ln>
          <a:effectLst>
            <a:outerShdw blurRad="254000" sx="102000" sy="102000" algn="ctr" rotWithShape="0">
              <a:prstClr val="black">
                <a:alpha val="20000"/>
              </a:prstClr>
            </a:outerShdw>
          </a:effectLst>
        </c:spPr>
        <c:dLbl>
          <c:idx val="0"/>
          <c:layout>
            <c:manualLayout>
              <c:x val="0.17036434359473496"/>
              <c:y val="-7.786757527173682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6879762651459423"/>
                  <c:h val="0.1031455780361458"/>
                </c:manualLayout>
              </c15:layout>
            </c:ext>
          </c:extLst>
        </c:dLbl>
      </c:pivotFmt>
      <c:pivotFmt>
        <c:idx val="2"/>
        <c:spPr>
          <a:solidFill>
            <a:schemeClr val="accent6"/>
          </a:solidFill>
          <a:ln>
            <a:noFill/>
          </a:ln>
          <a:effectLst>
            <a:outerShdw blurRad="254000" sx="102000" sy="102000" algn="ctr" rotWithShape="0">
              <a:prstClr val="black">
                <a:alpha val="20000"/>
              </a:prstClr>
            </a:outerShdw>
          </a:effectLst>
        </c:spPr>
        <c:dLbl>
          <c:idx val="0"/>
          <c:layout>
            <c:manualLayout>
              <c:x val="9.6210714484983334E-2"/>
              <c:y val="0.1898677275766986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1005564170440488"/>
                  <c:h val="7.9671390954637891E-2"/>
                </c:manualLayout>
              </c15:layout>
            </c:ext>
          </c:extLst>
        </c:dLbl>
      </c:pivotFmt>
      <c:pivotFmt>
        <c:idx val="3"/>
        <c:spPr>
          <a:solidFill>
            <a:schemeClr val="accent2"/>
          </a:solidFill>
          <a:ln>
            <a:noFill/>
          </a:ln>
          <a:effectLst>
            <a:outerShdw blurRad="254000" sx="102000" sy="102000" algn="ctr" rotWithShape="0">
              <a:prstClr val="black">
                <a:alpha val="20000"/>
              </a:prstClr>
            </a:outerShdw>
          </a:effectLst>
        </c:spPr>
        <c:dLbl>
          <c:idx val="0"/>
          <c:layout>
            <c:manualLayout>
              <c:x val="-9.9746980245483216E-2"/>
              <c:y val="0.1551521774249297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7.712452900778359E-2"/>
                  <c:h val="9.8450740619844226E-2"/>
                </c:manualLayout>
              </c15:layout>
            </c:ext>
          </c:extLst>
        </c:dLbl>
      </c:pivotFmt>
      <c:pivotFmt>
        <c:idx val="4"/>
        <c:spPr>
          <a:solidFill>
            <a:schemeClr val="accent4"/>
          </a:solidFill>
          <a:ln>
            <a:noFill/>
          </a:ln>
          <a:effectLst>
            <a:outerShdw blurRad="254000" sx="102000" sy="102000" algn="ctr" rotWithShape="0">
              <a:prstClr val="black">
                <a:alpha val="20000"/>
              </a:prstClr>
            </a:outerShdw>
          </a:effectLst>
        </c:spPr>
        <c:dLbl>
          <c:idx val="0"/>
          <c:layout>
            <c:manualLayout>
              <c:x val="-0.12089206781587106"/>
              <c:y val="-0.1797021107175745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3804037588271872"/>
                  <c:h val="8.9061065787241059E-2"/>
                </c:manualLayout>
              </c15:layout>
            </c:ext>
          </c:extLst>
        </c:dLbl>
      </c:pivotFmt>
      <c:pivotFmt>
        <c:idx val="5"/>
        <c:spPr>
          <a:solidFill>
            <a:schemeClr val="accent3"/>
          </a:solidFill>
          <a:ln>
            <a:noFill/>
          </a:ln>
          <a:effectLst>
            <a:outerShdw blurRad="254000" sx="102000" sy="102000" algn="ctr" rotWithShape="0">
              <a:prstClr val="black">
                <a:alpha val="20000"/>
              </a:prstClr>
            </a:outerShdw>
          </a:effectLst>
        </c:spPr>
        <c:dLbl>
          <c:idx val="0"/>
          <c:layout>
            <c:manualLayout>
              <c:x val="-0.12867834846860648"/>
              <c:y val="-2.171565624770109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1.6935638858033734E-2"/>
              <c:y val="0.1218362063643511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Dashboard!$E$5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6AB9-498F-99C7-D2416048AD0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B9-498F-99C7-D2416048AD0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B9-498F-99C7-D2416048AD0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6AB9-498F-99C7-D2416048AD0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B9-498F-99C7-D2416048AD0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6AB9-498F-99C7-D2416048AD0E}"/>
              </c:ext>
            </c:extLst>
          </c:dPt>
          <c:dLbls>
            <c:dLbl>
              <c:idx val="0"/>
              <c:layout>
                <c:manualLayout>
                  <c:x val="-1.6935638858033734E-2"/>
                  <c:y val="0.12183620636435115"/>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AB9-498F-99C7-D2416048AD0E}"/>
                </c:ext>
              </c:extLst>
            </c:dLbl>
            <c:dLbl>
              <c:idx val="1"/>
              <c:layout>
                <c:manualLayout>
                  <c:x val="-9.9746980245483216E-2"/>
                  <c:y val="0.1551521774249297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7.712452900778359E-2"/>
                      <c:h val="9.8450740619844226E-2"/>
                    </c:manualLayout>
                  </c15:layout>
                </c:ext>
                <c:ext xmlns:c16="http://schemas.microsoft.com/office/drawing/2014/chart" uri="{C3380CC4-5D6E-409C-BE32-E72D297353CC}">
                  <c16:uniqueId val="{00000003-6AB9-498F-99C7-D2416048AD0E}"/>
                </c:ext>
              </c:extLst>
            </c:dLbl>
            <c:dLbl>
              <c:idx val="2"/>
              <c:layout>
                <c:manualLayout>
                  <c:x val="-0.12867834846860648"/>
                  <c:y val="-2.171565624770109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AB9-498F-99C7-D2416048AD0E}"/>
                </c:ext>
              </c:extLst>
            </c:dLbl>
            <c:dLbl>
              <c:idx val="3"/>
              <c:layout>
                <c:manualLayout>
                  <c:x val="-0.12089206781587106"/>
                  <c:y val="-0.1797021107175745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3804037588271872"/>
                      <c:h val="8.9061065787241059E-2"/>
                    </c:manualLayout>
                  </c15:layout>
                </c:ext>
                <c:ext xmlns:c16="http://schemas.microsoft.com/office/drawing/2014/chart" uri="{C3380CC4-5D6E-409C-BE32-E72D297353CC}">
                  <c16:uniqueId val="{00000004-6AB9-498F-99C7-D2416048AD0E}"/>
                </c:ext>
              </c:extLst>
            </c:dLbl>
            <c:dLbl>
              <c:idx val="4"/>
              <c:layout>
                <c:manualLayout>
                  <c:x val="0.17036434359473496"/>
                  <c:y val="-7.786757527173682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6879762651459423"/>
                      <c:h val="0.1031455780361458"/>
                    </c:manualLayout>
                  </c15:layout>
                </c:ext>
                <c:ext xmlns:c16="http://schemas.microsoft.com/office/drawing/2014/chart" uri="{C3380CC4-5D6E-409C-BE32-E72D297353CC}">
                  <c16:uniqueId val="{00000001-6AB9-498F-99C7-D2416048AD0E}"/>
                </c:ext>
              </c:extLst>
            </c:dLbl>
            <c:dLbl>
              <c:idx val="5"/>
              <c:layout>
                <c:manualLayout>
                  <c:x val="9.6210714484983334E-2"/>
                  <c:y val="0.1898677275766986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1005564170440488"/>
                      <c:h val="7.9671390954637891E-2"/>
                    </c:manualLayout>
                  </c15:layout>
                </c:ext>
                <c:ext xmlns:c16="http://schemas.microsoft.com/office/drawing/2014/chart" uri="{C3380CC4-5D6E-409C-BE32-E72D297353CC}">
                  <c16:uniqueId val="{00000002-6AB9-498F-99C7-D2416048AD0E}"/>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Dashboard!$D$6:$D$11</c:f>
              <c:strCache>
                <c:ptCount val="6"/>
                <c:pt idx="0">
                  <c:v>Baby Cear</c:v>
                </c:pt>
                <c:pt idx="1">
                  <c:v>Baby Gear</c:v>
                </c:pt>
                <c:pt idx="2">
                  <c:v>Clothing</c:v>
                </c:pt>
                <c:pt idx="3">
                  <c:v>Feeding</c:v>
                </c:pt>
                <c:pt idx="4">
                  <c:v>Hygiene</c:v>
                </c:pt>
                <c:pt idx="5">
                  <c:v>Toys</c:v>
                </c:pt>
              </c:strCache>
            </c:strRef>
          </c:cat>
          <c:val>
            <c:numRef>
              <c:f>Dashboard!$E$6:$E$11</c:f>
              <c:numCache>
                <c:formatCode>General</c:formatCode>
                <c:ptCount val="6"/>
                <c:pt idx="0">
                  <c:v>1</c:v>
                </c:pt>
                <c:pt idx="1">
                  <c:v>5</c:v>
                </c:pt>
                <c:pt idx="2">
                  <c:v>4</c:v>
                </c:pt>
                <c:pt idx="3">
                  <c:v>5</c:v>
                </c:pt>
                <c:pt idx="4">
                  <c:v>10</c:v>
                </c:pt>
                <c:pt idx="5">
                  <c:v>4</c:v>
                </c:pt>
              </c:numCache>
            </c:numRef>
          </c:val>
          <c:extLst>
            <c:ext xmlns:c16="http://schemas.microsoft.com/office/drawing/2014/chart" uri="{C3380CC4-5D6E-409C-BE32-E72D297353CC}">
              <c16:uniqueId val="{00000000-6AB9-498F-99C7-D2416048AD0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March_Dashboard.xlsm]Dashboard!PivotTable2</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Dashboard!$H$5</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Dashboard!$G$6:$G$9</c:f>
              <c:strCache>
                <c:ptCount val="4"/>
                <c:pt idx="0">
                  <c:v>01-03-2026</c:v>
                </c:pt>
                <c:pt idx="1">
                  <c:v>02-03-2026</c:v>
                </c:pt>
                <c:pt idx="2">
                  <c:v>03-03-2026</c:v>
                </c:pt>
                <c:pt idx="3">
                  <c:v>04-03-2026</c:v>
                </c:pt>
              </c:strCache>
            </c:strRef>
          </c:cat>
          <c:val>
            <c:numRef>
              <c:f>Dashboard!$H$6:$H$9</c:f>
              <c:numCache>
                <c:formatCode>General</c:formatCode>
                <c:ptCount val="4"/>
                <c:pt idx="0">
                  <c:v>1010</c:v>
                </c:pt>
                <c:pt idx="1">
                  <c:v>2370</c:v>
                </c:pt>
                <c:pt idx="2">
                  <c:v>3380</c:v>
                </c:pt>
                <c:pt idx="3">
                  <c:v>3520</c:v>
                </c:pt>
              </c:numCache>
            </c:numRef>
          </c:val>
          <c:smooth val="0"/>
          <c:extLst>
            <c:ext xmlns:c16="http://schemas.microsoft.com/office/drawing/2014/chart" uri="{C3380CC4-5D6E-409C-BE32-E72D297353CC}">
              <c16:uniqueId val="{00000000-08D8-400D-96F8-D3DEE5399539}"/>
            </c:ext>
          </c:extLst>
        </c:ser>
        <c:dLbls>
          <c:dLblPos val="ctr"/>
          <c:showLegendKey val="0"/>
          <c:showVal val="1"/>
          <c:showCatName val="0"/>
          <c:showSerName val="0"/>
          <c:showPercent val="0"/>
          <c:showBubbleSize val="0"/>
        </c:dLbls>
        <c:marker val="1"/>
        <c:smooth val="0"/>
        <c:axId val="528141792"/>
        <c:axId val="528132608"/>
      </c:lineChart>
      <c:catAx>
        <c:axId val="52814179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132608"/>
        <c:crosses val="autoZero"/>
        <c:auto val="1"/>
        <c:lblAlgn val="ctr"/>
        <c:lblOffset val="100"/>
        <c:noMultiLvlLbl val="0"/>
      </c:catAx>
      <c:valAx>
        <c:axId val="528132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141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March_Dashboard.xlsm]Dashboard!PivotTable4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Dashboard!$K$6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Dashboard!$J$7:$J$8</c:f>
              <c:strCache>
                <c:ptCount val="2"/>
                <c:pt idx="0">
                  <c:v>CASH</c:v>
                </c:pt>
                <c:pt idx="1">
                  <c:v>ONLINE</c:v>
                </c:pt>
              </c:strCache>
            </c:strRef>
          </c:cat>
          <c:val>
            <c:numRef>
              <c:f>Dashboard!$K$7:$K$8</c:f>
              <c:numCache>
                <c:formatCode>General</c:formatCode>
                <c:ptCount val="2"/>
                <c:pt idx="0">
                  <c:v>3710</c:v>
                </c:pt>
                <c:pt idx="1">
                  <c:v>6570</c:v>
                </c:pt>
              </c:numCache>
            </c:numRef>
          </c:val>
          <c:extLst>
            <c:ext xmlns:c16="http://schemas.microsoft.com/office/drawing/2014/chart" uri="{C3380CC4-5D6E-409C-BE32-E72D297353CC}">
              <c16:uniqueId val="{00000000-D94C-4F01-8AA5-FE44E26E2AAF}"/>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57150</xdr:colOff>
      <xdr:row>15</xdr:row>
      <xdr:rowOff>9526</xdr:rowOff>
    </xdr:from>
    <xdr:to>
      <xdr:col>6</xdr:col>
      <xdr:colOff>742950</xdr:colOff>
      <xdr:row>29</xdr:row>
      <xdr:rowOff>104776</xdr:rowOff>
    </xdr:to>
    <xdr:graphicFrame macro="">
      <xdr:nvGraphicFramePr>
        <xdr:cNvPr id="2" name="Chart 1">
          <a:extLst>
            <a:ext uri="{FF2B5EF4-FFF2-40B4-BE49-F238E27FC236}">
              <a16:creationId xmlns:a16="http://schemas.microsoft.com/office/drawing/2014/main" id="{290C2EA7-4401-4AFF-8310-ED77BF1471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828675</xdr:colOff>
      <xdr:row>14</xdr:row>
      <xdr:rowOff>171450</xdr:rowOff>
    </xdr:from>
    <xdr:to>
      <xdr:col>11</xdr:col>
      <xdr:colOff>180974</xdr:colOff>
      <xdr:row>29</xdr:row>
      <xdr:rowOff>76199</xdr:rowOff>
    </xdr:to>
    <xdr:graphicFrame macro="">
      <xdr:nvGraphicFramePr>
        <xdr:cNvPr id="3" name="Chart 2">
          <a:extLst>
            <a:ext uri="{FF2B5EF4-FFF2-40B4-BE49-F238E27FC236}">
              <a16:creationId xmlns:a16="http://schemas.microsoft.com/office/drawing/2014/main" id="{C90AD277-5FE7-4E1B-9BCB-B8FBBA7899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319088</xdr:colOff>
      <xdr:row>14</xdr:row>
      <xdr:rowOff>161925</xdr:rowOff>
    </xdr:from>
    <xdr:to>
      <xdr:col>16</xdr:col>
      <xdr:colOff>581025</xdr:colOff>
      <xdr:row>29</xdr:row>
      <xdr:rowOff>85725</xdr:rowOff>
    </xdr:to>
    <xdr:graphicFrame macro="">
      <xdr:nvGraphicFramePr>
        <xdr:cNvPr id="4" name="Chart 3">
          <a:extLst>
            <a:ext uri="{FF2B5EF4-FFF2-40B4-BE49-F238E27FC236}">
              <a16:creationId xmlns:a16="http://schemas.microsoft.com/office/drawing/2014/main" id="{01A562DB-46B1-4850-8E93-4C2E54AA2D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252413</xdr:colOff>
      <xdr:row>3</xdr:row>
      <xdr:rowOff>100013</xdr:rowOff>
    </xdr:from>
    <xdr:to>
      <xdr:col>16</xdr:col>
      <xdr:colOff>485775</xdr:colOff>
      <xdr:row>14</xdr:row>
      <xdr:rowOff>38101</xdr:rowOff>
    </xdr:to>
    <xdr:graphicFrame macro="">
      <xdr:nvGraphicFramePr>
        <xdr:cNvPr id="5" name="Chart 4">
          <a:extLst>
            <a:ext uri="{FF2B5EF4-FFF2-40B4-BE49-F238E27FC236}">
              <a16:creationId xmlns:a16="http://schemas.microsoft.com/office/drawing/2014/main" id="{62808B16-091F-4BAD-8D8E-CB118FA85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104775</xdr:colOff>
      <xdr:row>1</xdr:row>
      <xdr:rowOff>85726</xdr:rowOff>
    </xdr:from>
    <xdr:to>
      <xdr:col>16</xdr:col>
      <xdr:colOff>428625</xdr:colOff>
      <xdr:row>1</xdr:row>
      <xdr:rowOff>514350</xdr:rowOff>
    </xdr:to>
    <mc:AlternateContent xmlns:mc="http://schemas.openxmlformats.org/markup-compatibility/2006">
      <mc:Choice xmlns:a14="http://schemas.microsoft.com/office/drawing/2010/main" Requires="a14">
        <xdr:graphicFrame macro="">
          <xdr:nvGraphicFramePr>
            <xdr:cNvPr id="9" name="Category">
              <a:extLst>
                <a:ext uri="{FF2B5EF4-FFF2-40B4-BE49-F238E27FC236}">
                  <a16:creationId xmlns:a16="http://schemas.microsoft.com/office/drawing/2014/main" id="{2CE7D8DC-F844-4F11-9D74-C54FA333D21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4775" y="504826"/>
              <a:ext cx="11830050" cy="4286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142875</xdr:colOff>
      <xdr:row>2</xdr:row>
      <xdr:rowOff>57150</xdr:rowOff>
    </xdr:from>
    <xdr:to>
      <xdr:col>1</xdr:col>
      <xdr:colOff>104775</xdr:colOff>
      <xdr:row>3</xdr:row>
      <xdr:rowOff>123825</xdr:rowOff>
    </xdr:to>
    <xdr:sp macro="[0]!SlicerConnection" textlink="">
      <xdr:nvSpPr>
        <xdr:cNvPr id="11" name="Speech Bubble: Rectangle with Corners Rounded 10">
          <a:extLst>
            <a:ext uri="{FF2B5EF4-FFF2-40B4-BE49-F238E27FC236}">
              <a16:creationId xmlns:a16="http://schemas.microsoft.com/office/drawing/2014/main" id="{2B3E4920-A999-494C-BFDC-43A3653A70B1}"/>
            </a:ext>
          </a:extLst>
        </xdr:cNvPr>
        <xdr:cNvSpPr/>
      </xdr:nvSpPr>
      <xdr:spPr>
        <a:xfrm>
          <a:off x="142875" y="247650"/>
          <a:ext cx="1428750" cy="342900"/>
        </a:xfrm>
        <a:prstGeom prst="wedgeRoundRectCallou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295275</xdr:colOff>
          <xdr:row>2</xdr:row>
          <xdr:rowOff>95250</xdr:rowOff>
        </xdr:from>
        <xdr:to>
          <xdr:col>0</xdr:col>
          <xdr:colOff>1314450</xdr:colOff>
          <xdr:row>3</xdr:row>
          <xdr:rowOff>38100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BF139E17-8D3C-4843-B69D-0966D0053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19050</xdr:colOff>
      <xdr:row>2</xdr:row>
      <xdr:rowOff>57150</xdr:rowOff>
    </xdr:from>
    <xdr:to>
      <xdr:col>4</xdr:col>
      <xdr:colOff>600075</xdr:colOff>
      <xdr:row>3</xdr:row>
      <xdr:rowOff>123825</xdr:rowOff>
    </xdr:to>
    <xdr:sp macro="[0]!SlicerConnection" textlink="">
      <xdr:nvSpPr>
        <xdr:cNvPr id="13" name="Speech Bubble: Rectangle with Corners Rounded 12">
          <a:extLst>
            <a:ext uri="{FF2B5EF4-FFF2-40B4-BE49-F238E27FC236}">
              <a16:creationId xmlns:a16="http://schemas.microsoft.com/office/drawing/2014/main" id="{2C93D9DA-8F7D-4F5A-98FA-ED73C00BF412}"/>
            </a:ext>
          </a:extLst>
        </xdr:cNvPr>
        <xdr:cNvSpPr/>
      </xdr:nvSpPr>
      <xdr:spPr>
        <a:xfrm>
          <a:off x="2381250" y="247650"/>
          <a:ext cx="1428750" cy="342900"/>
        </a:xfrm>
        <a:prstGeom prst="wedgeRoundRectCallou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466725</xdr:colOff>
      <xdr:row>2</xdr:row>
      <xdr:rowOff>47625</xdr:rowOff>
    </xdr:from>
    <xdr:to>
      <xdr:col>7</xdr:col>
      <xdr:colOff>447675</xdr:colOff>
      <xdr:row>3</xdr:row>
      <xdr:rowOff>114300</xdr:rowOff>
    </xdr:to>
    <xdr:sp macro="[0]!SlicerConnection" textlink="">
      <xdr:nvSpPr>
        <xdr:cNvPr id="14" name="Speech Bubble: Rectangle with Corners Rounded 13">
          <a:extLst>
            <a:ext uri="{FF2B5EF4-FFF2-40B4-BE49-F238E27FC236}">
              <a16:creationId xmlns:a16="http://schemas.microsoft.com/office/drawing/2014/main" id="{2AA5A3D0-8396-4E48-933E-D34BA333CDF8}"/>
            </a:ext>
          </a:extLst>
        </xdr:cNvPr>
        <xdr:cNvSpPr/>
      </xdr:nvSpPr>
      <xdr:spPr>
        <a:xfrm>
          <a:off x="4667250" y="238125"/>
          <a:ext cx="1428750" cy="342900"/>
        </a:xfrm>
        <a:prstGeom prst="wedgeRoundRectCallou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209550</xdr:colOff>
      <xdr:row>2</xdr:row>
      <xdr:rowOff>57150</xdr:rowOff>
    </xdr:from>
    <xdr:to>
      <xdr:col>10</xdr:col>
      <xdr:colOff>514350</xdr:colOff>
      <xdr:row>3</xdr:row>
      <xdr:rowOff>123825</xdr:rowOff>
    </xdr:to>
    <xdr:sp macro="" textlink="">
      <xdr:nvSpPr>
        <xdr:cNvPr id="15" name="Speech Bubble: Rectangle with Corners Rounded 14">
          <a:extLst>
            <a:ext uri="{FF2B5EF4-FFF2-40B4-BE49-F238E27FC236}">
              <a16:creationId xmlns:a16="http://schemas.microsoft.com/office/drawing/2014/main" id="{EB701480-2782-4158-A46B-63132E1B8EFB}"/>
            </a:ext>
          </a:extLst>
        </xdr:cNvPr>
        <xdr:cNvSpPr/>
      </xdr:nvSpPr>
      <xdr:spPr>
        <a:xfrm>
          <a:off x="6896100" y="247650"/>
          <a:ext cx="1428750" cy="342900"/>
        </a:xfrm>
        <a:prstGeom prst="wedgeRoundRectCallou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238125</xdr:colOff>
          <xdr:row>2</xdr:row>
          <xdr:rowOff>85725</xdr:rowOff>
        </xdr:from>
        <xdr:to>
          <xdr:col>4</xdr:col>
          <xdr:colOff>409575</xdr:colOff>
          <xdr:row>3</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2ED12670-17FB-454A-81D9-3FA62D3DAF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619125</xdr:colOff>
          <xdr:row>2</xdr:row>
          <xdr:rowOff>114300</xdr:rowOff>
        </xdr:from>
        <xdr:to>
          <xdr:col>7</xdr:col>
          <xdr:colOff>371475</xdr:colOff>
          <xdr:row>3</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6592C66C-A859-48CF-B8E5-4C2E6CF7EA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2</xdr:row>
          <xdr:rowOff>114300</xdr:rowOff>
        </xdr:from>
        <xdr:to>
          <xdr:col>10</xdr:col>
          <xdr:colOff>371475</xdr:colOff>
          <xdr:row>3</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27505001-6E0D-40FB-A84D-268D8BF1C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95.539933449072" createdVersion="6" refreshedVersion="6" minRefreshableVersion="3" recordCount="29" xr:uid="{B1F64D2B-4EDD-413D-B18E-C9D9BC6A8FC6}">
  <cacheSource type="worksheet">
    <worksheetSource ref="A4:L33" sheet="Sheet1"/>
  </cacheSource>
  <cacheFields count="12">
    <cacheField name="S.No" numFmtId="0">
      <sharedItems containsSemiMixedTypes="0" containsString="0" containsNumber="1" containsInteger="1" minValue="1" maxValue="29"/>
    </cacheField>
    <cacheField name="Date" numFmtId="14">
      <sharedItems containsSemiMixedTypes="0" containsNonDate="0" containsDate="1" containsString="0" minDate="2026-03-01T00:00:00" maxDate="2026-03-05T00:00:00" count="4">
        <d v="2026-03-01T00:00:00"/>
        <d v="2026-03-02T00:00:00"/>
        <d v="2026-03-03T00:00:00"/>
        <d v="2026-03-04T00:00:00"/>
      </sharedItems>
    </cacheField>
    <cacheField name="Product " numFmtId="0">
      <sharedItems count="24">
        <s v="Steel Muscial Walker"/>
        <s v="Socks"/>
        <s v="Baby Feeding Spoon"/>
        <s v="Baby Shoes"/>
        <s v="Baby Daiper           [xL]"/>
        <s v="Horse Toy"/>
        <s v="Baby Swipper"/>
        <s v="Powder Box &amp; Puff"/>
        <s v="Fruit Pacifier"/>
        <s v="Jeep Car Box"/>
        <s v="Barbi Set"/>
        <s v="Baby Daiper           [s]"/>
        <s v="Bed with Mosq Net"/>
        <s v="Baby Chair"/>
        <s v="Race Car"/>
        <s v="Baby Daiper            [L]"/>
        <s v="Baby  Wipes"/>
        <s v="Baby Bed with Net"/>
        <s v="Baby Dresses"/>
        <s v="Baby Daiper            [M]"/>
        <s v="Baby Daiper          [NB]"/>
        <s v="Baby Oil"/>
        <s v="Baby Wipes"/>
        <s v="Baby Daiper          [M]"/>
      </sharedItems>
    </cacheField>
    <cacheField name="Category" numFmtId="0">
      <sharedItems count="6">
        <s v="Baby Gear"/>
        <s v="Clothing"/>
        <s v="Feeding"/>
        <s v="Hygiene"/>
        <s v="Toys"/>
        <s v="Baby Cear"/>
      </sharedItems>
    </cacheField>
    <cacheField name="Brand" numFmtId="0">
      <sharedItems count="21">
        <s v="Baby Kicks"/>
        <s v="Little Baby"/>
        <s v="BPA"/>
        <s v="Mibbill"/>
        <s v="Teddy Soft"/>
        <s v="Clever Mice"/>
        <s v="Generic"/>
        <s v="BPA "/>
        <s v="R.D. Rajguru"/>
        <s v="Twist &amp; Turn"/>
        <s v="Local"/>
        <s v="LuvLap"/>
        <s v="Vindo &amp; Co"/>
        <s v="K.V. CO"/>
        <s v="Little Angle"/>
        <s v="Babio"/>
        <s v="Vinod &amp; Co"/>
        <s v="JOJO"/>
        <s v="Lovingle"/>
        <s v="Mami Poco Pants"/>
        <s v="Johnsons"/>
      </sharedItems>
    </cacheField>
    <cacheField name="Units" numFmtId="0">
      <sharedItems containsSemiMixedTypes="0" containsString="0" containsNumber="1" containsInteger="1" minValue="1" maxValue="3"/>
    </cacheField>
    <cacheField name="Selling Price" numFmtId="0">
      <sharedItems containsSemiMixedTypes="0" containsString="0" containsNumber="1" containsInteger="1" minValue="60" maxValue="650"/>
    </cacheField>
    <cacheField name="Revenue" numFmtId="0">
      <sharedItems containsSemiMixedTypes="0" containsString="0" containsNumber="1" containsInteger="1" minValue="60" maxValue="1000"/>
    </cacheField>
    <cacheField name="Payment Mode" numFmtId="0">
      <sharedItems count="2">
        <s v="CASH"/>
        <s v="ONLINE"/>
      </sharedItems>
    </cacheField>
    <cacheField name="Cost Price" numFmtId="0">
      <sharedItems containsSemiMixedTypes="0" containsString="0" containsNumber="1" containsInteger="1" minValue="40" maxValue="480"/>
    </cacheField>
    <cacheField name="Total Cost" numFmtId="0">
      <sharedItems containsSemiMixedTypes="0" containsString="0" containsNumber="1" containsInteger="1" minValue="40" maxValue="630"/>
    </cacheField>
    <cacheField name="Profit" numFmtId="0">
      <sharedItems containsSemiMixedTypes="0" containsString="0" containsNumber="1" containsInteger="1" minValue="10" maxValue="370" count="21">
        <n v="230"/>
        <n v="100"/>
        <n v="50"/>
        <n v="110"/>
        <n v="10"/>
        <n v="260"/>
        <n v="90"/>
        <n v="60"/>
        <n v="30"/>
        <n v="250"/>
        <n v="170"/>
        <n v="280"/>
        <n v="185"/>
        <n v="135"/>
        <n v="15"/>
        <n v="130"/>
        <n v="120"/>
        <n v="370"/>
        <n v="180"/>
        <n v="18"/>
        <n v="40"/>
      </sharedItems>
    </cacheField>
  </cacheFields>
  <extLst>
    <ext xmlns:x14="http://schemas.microsoft.com/office/spreadsheetml/2009/9/main" uri="{725AE2AE-9491-48be-B2B4-4EB974FC3084}">
      <x14:pivotCacheDefinition pivotCacheId="14792417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n v="1"/>
    <x v="0"/>
    <x v="0"/>
    <x v="0"/>
    <x v="0"/>
    <n v="1"/>
    <n v="600"/>
    <n v="600"/>
    <x v="0"/>
    <n v="370"/>
    <n v="370"/>
    <x v="0"/>
  </r>
  <r>
    <n v="2"/>
    <x v="0"/>
    <x v="1"/>
    <x v="1"/>
    <x v="1"/>
    <n v="1"/>
    <n v="150"/>
    <n v="150"/>
    <x v="1"/>
    <n v="50"/>
    <n v="50"/>
    <x v="1"/>
  </r>
  <r>
    <n v="3"/>
    <x v="0"/>
    <x v="2"/>
    <x v="2"/>
    <x v="2"/>
    <n v="1"/>
    <n v="90"/>
    <n v="90"/>
    <x v="1"/>
    <n v="40"/>
    <n v="40"/>
    <x v="2"/>
  </r>
  <r>
    <n v="4"/>
    <x v="0"/>
    <x v="3"/>
    <x v="1"/>
    <x v="3"/>
    <n v="1"/>
    <n v="170"/>
    <n v="170"/>
    <x v="1"/>
    <n v="120"/>
    <n v="120"/>
    <x v="2"/>
  </r>
  <r>
    <n v="5"/>
    <x v="1"/>
    <x v="4"/>
    <x v="3"/>
    <x v="4"/>
    <n v="1"/>
    <n v="500"/>
    <n v="500"/>
    <x v="1"/>
    <n v="390"/>
    <n v="390"/>
    <x v="3"/>
  </r>
  <r>
    <n v="6"/>
    <x v="1"/>
    <x v="5"/>
    <x v="4"/>
    <x v="5"/>
    <n v="1"/>
    <n v="60"/>
    <n v="60"/>
    <x v="1"/>
    <n v="50"/>
    <n v="50"/>
    <x v="4"/>
  </r>
  <r>
    <n v="7"/>
    <x v="1"/>
    <x v="6"/>
    <x v="2"/>
    <x v="6"/>
    <n v="2"/>
    <n v="300"/>
    <n v="600"/>
    <x v="1"/>
    <n v="170"/>
    <n v="340"/>
    <x v="5"/>
  </r>
  <r>
    <n v="8"/>
    <x v="1"/>
    <x v="2"/>
    <x v="2"/>
    <x v="7"/>
    <n v="2"/>
    <n v="85"/>
    <n v="170"/>
    <x v="1"/>
    <n v="40"/>
    <n v="80"/>
    <x v="6"/>
  </r>
  <r>
    <n v="9"/>
    <x v="1"/>
    <x v="7"/>
    <x v="5"/>
    <x v="8"/>
    <n v="1"/>
    <n v="100"/>
    <n v="100"/>
    <x v="0"/>
    <n v="40"/>
    <n v="40"/>
    <x v="7"/>
  </r>
  <r>
    <n v="10"/>
    <x v="1"/>
    <x v="2"/>
    <x v="2"/>
    <x v="2"/>
    <n v="1"/>
    <n v="70"/>
    <n v="70"/>
    <x v="0"/>
    <n v="40"/>
    <n v="40"/>
    <x v="8"/>
  </r>
  <r>
    <n v="11"/>
    <x v="1"/>
    <x v="8"/>
    <x v="2"/>
    <x v="2"/>
    <n v="1"/>
    <n v="120"/>
    <n v="120"/>
    <x v="0"/>
    <n v="60"/>
    <n v="60"/>
    <x v="7"/>
  </r>
  <r>
    <n v="12"/>
    <x v="1"/>
    <x v="9"/>
    <x v="4"/>
    <x v="9"/>
    <n v="1"/>
    <n v="600"/>
    <n v="600"/>
    <x v="0"/>
    <n v="350"/>
    <n v="350"/>
    <x v="9"/>
  </r>
  <r>
    <n v="13"/>
    <x v="1"/>
    <x v="10"/>
    <x v="4"/>
    <x v="10"/>
    <n v="1"/>
    <n v="150"/>
    <n v="150"/>
    <x v="0"/>
    <n v="90"/>
    <n v="90"/>
    <x v="7"/>
  </r>
  <r>
    <n v="14"/>
    <x v="2"/>
    <x v="4"/>
    <x v="3"/>
    <x v="11"/>
    <n v="1"/>
    <n v="650"/>
    <n v="650"/>
    <x v="1"/>
    <n v="480"/>
    <n v="480"/>
    <x v="10"/>
  </r>
  <r>
    <n v="15"/>
    <x v="2"/>
    <x v="11"/>
    <x v="3"/>
    <x v="11"/>
    <n v="1"/>
    <n v="650"/>
    <n v="650"/>
    <x v="1"/>
    <n v="480"/>
    <n v="480"/>
    <x v="10"/>
  </r>
  <r>
    <n v="16"/>
    <x v="2"/>
    <x v="12"/>
    <x v="0"/>
    <x v="12"/>
    <n v="1"/>
    <n v="600"/>
    <n v="600"/>
    <x v="1"/>
    <n v="320"/>
    <n v="320"/>
    <x v="11"/>
  </r>
  <r>
    <n v="17"/>
    <x v="2"/>
    <x v="12"/>
    <x v="0"/>
    <x v="12"/>
    <n v="1"/>
    <n v="450"/>
    <n v="450"/>
    <x v="0"/>
    <n v="265"/>
    <n v="265"/>
    <x v="12"/>
  </r>
  <r>
    <n v="18"/>
    <x v="2"/>
    <x v="13"/>
    <x v="0"/>
    <x v="6"/>
    <n v="1"/>
    <n v="300"/>
    <n v="300"/>
    <x v="1"/>
    <n v="165"/>
    <n v="165"/>
    <x v="13"/>
  </r>
  <r>
    <n v="19"/>
    <x v="2"/>
    <x v="14"/>
    <x v="4"/>
    <x v="13"/>
    <n v="1"/>
    <n v="180"/>
    <n v="180"/>
    <x v="1"/>
    <n v="165"/>
    <n v="165"/>
    <x v="14"/>
  </r>
  <r>
    <n v="20"/>
    <x v="2"/>
    <x v="15"/>
    <x v="3"/>
    <x v="14"/>
    <n v="1"/>
    <n v="550"/>
    <n v="550"/>
    <x v="0"/>
    <n v="420"/>
    <n v="420"/>
    <x v="15"/>
  </r>
  <r>
    <n v="21"/>
    <x v="3"/>
    <x v="16"/>
    <x v="3"/>
    <x v="15"/>
    <n v="3"/>
    <n v="80"/>
    <n v="240"/>
    <x v="0"/>
    <n v="40"/>
    <n v="120"/>
    <x v="16"/>
  </r>
  <r>
    <n v="22"/>
    <x v="3"/>
    <x v="17"/>
    <x v="0"/>
    <x v="16"/>
    <n v="1"/>
    <n v="600"/>
    <n v="600"/>
    <x v="1"/>
    <n v="320"/>
    <n v="320"/>
    <x v="11"/>
  </r>
  <r>
    <n v="23"/>
    <x v="3"/>
    <x v="18"/>
    <x v="1"/>
    <x v="17"/>
    <n v="3"/>
    <n v="333"/>
    <n v="1000"/>
    <x v="1"/>
    <n v="210"/>
    <n v="630"/>
    <x v="17"/>
  </r>
  <r>
    <n v="24"/>
    <x v="3"/>
    <x v="19"/>
    <x v="3"/>
    <x v="18"/>
    <n v="1"/>
    <n v="600"/>
    <n v="600"/>
    <x v="0"/>
    <n v="420"/>
    <n v="420"/>
    <x v="18"/>
  </r>
  <r>
    <n v="25"/>
    <x v="3"/>
    <x v="1"/>
    <x v="1"/>
    <x v="1"/>
    <n v="1"/>
    <n v="150"/>
    <n v="150"/>
    <x v="0"/>
    <n v="50"/>
    <n v="50"/>
    <x v="1"/>
  </r>
  <r>
    <n v="26"/>
    <x v="3"/>
    <x v="20"/>
    <x v="3"/>
    <x v="19"/>
    <n v="1"/>
    <n v="350"/>
    <n v="350"/>
    <x v="1"/>
    <n v="240"/>
    <n v="240"/>
    <x v="3"/>
  </r>
  <r>
    <n v="27"/>
    <x v="3"/>
    <x v="21"/>
    <x v="3"/>
    <x v="20"/>
    <n v="1"/>
    <n v="150"/>
    <n v="150"/>
    <x v="1"/>
    <n v="132"/>
    <n v="132"/>
    <x v="19"/>
  </r>
  <r>
    <n v="28"/>
    <x v="3"/>
    <x v="22"/>
    <x v="3"/>
    <x v="11"/>
    <n v="1"/>
    <n v="80"/>
    <n v="80"/>
    <x v="0"/>
    <n v="40"/>
    <n v="40"/>
    <x v="20"/>
  </r>
  <r>
    <n v="29"/>
    <x v="3"/>
    <x v="23"/>
    <x v="3"/>
    <x v="19"/>
    <n v="1"/>
    <n v="350"/>
    <n v="350"/>
    <x v="1"/>
    <n v="240"/>
    <n v="24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E2265B-7C8C-495E-BE09-938F8A8F5894}" name="PivotTable4" cacheId="1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Payment Mode">
  <location ref="J6:K8" firstHeaderRow="1" firstDataRow="1" firstDataCol="1"/>
  <pivotFields count="12">
    <pivotField showAll="0"/>
    <pivotField numFmtId="14" showAll="0"/>
    <pivotField showAll="0"/>
    <pivotField showAll="0">
      <items count="7">
        <item x="5"/>
        <item h="1" x="0"/>
        <item h="1" x="1"/>
        <item h="1" x="2"/>
        <item h="1" x="3"/>
        <item h="1" x="4"/>
        <item t="default"/>
      </items>
    </pivotField>
    <pivotField showAll="0"/>
    <pivotField showAll="0"/>
    <pivotField showAll="0"/>
    <pivotField dataField="1" showAll="0"/>
    <pivotField axis="axisRow" showAll="0">
      <items count="3">
        <item x="0"/>
        <item x="1"/>
        <item t="default"/>
      </items>
    </pivotField>
    <pivotField showAll="0"/>
    <pivotField showAll="0"/>
    <pivotField showAll="0"/>
  </pivotFields>
  <rowFields count="1">
    <field x="8"/>
  </rowFields>
  <rowItems count="2">
    <i>
      <x/>
    </i>
    <i>
      <x v="1"/>
    </i>
  </rowItems>
  <colItems count="1">
    <i/>
  </colItems>
  <dataFields count="1">
    <dataField name="Revenue  " fld="7" baseField="8" baseItem="0"/>
  </dataFields>
  <formats count="5">
    <format dxfId="22">
      <pivotArea type="all" dataOnly="0" outline="0" fieldPosition="0"/>
    </format>
    <format dxfId="23">
      <pivotArea outline="0" collapsedLevelsAreSubtotals="1" fieldPosition="0"/>
    </format>
    <format dxfId="24">
      <pivotArea field="8" type="button" dataOnly="0" labelOnly="1" outline="0" axis="axisRow" fieldPosition="0"/>
    </format>
    <format dxfId="25">
      <pivotArea dataOnly="0" labelOnly="1" fieldPosition="0">
        <references count="1">
          <reference field="8" count="0"/>
        </references>
      </pivotArea>
    </format>
    <format dxfId="2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FFBBA0-5058-450F-B630-6AC6BC736692}" name="PivotTable3" cacheId="1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Categories">
  <location ref="D5:E11" firstHeaderRow="1" firstDataRow="1" firstDataCol="1"/>
  <pivotFields count="12">
    <pivotField showAll="0"/>
    <pivotField numFmtId="14" showAll="0"/>
    <pivotField showAll="0"/>
    <pivotField axis="axisRow" showAll="0">
      <items count="7">
        <item sd="0" x="5"/>
        <item sd="0" x="0"/>
        <item sd="0" x="1"/>
        <item sd="0" x="2"/>
        <item sd="0" x="3"/>
        <item sd="0" x="4"/>
        <item t="default"/>
      </items>
    </pivotField>
    <pivotField axis="axisRow" showAll="0">
      <items count="22">
        <item x="15"/>
        <item x="0"/>
        <item x="2"/>
        <item x="7"/>
        <item x="5"/>
        <item x="6"/>
        <item x="20"/>
        <item x="17"/>
        <item x="13"/>
        <item x="14"/>
        <item x="1"/>
        <item x="10"/>
        <item x="18"/>
        <item x="11"/>
        <item x="19"/>
        <item x="3"/>
        <item x="8"/>
        <item x="4"/>
        <item x="9"/>
        <item x="12"/>
        <item x="16"/>
        <item t="default"/>
      </items>
    </pivotField>
    <pivotField showAll="0"/>
    <pivotField showAll="0"/>
    <pivotField showAll="0"/>
    <pivotField showAll="0"/>
    <pivotField showAll="0"/>
    <pivotField showAll="0"/>
    <pivotField dataField="1" showAll="0"/>
  </pivotFields>
  <rowFields count="2">
    <field x="3"/>
    <field x="4"/>
  </rowFields>
  <rowItems count="6">
    <i>
      <x/>
    </i>
    <i>
      <x v="1"/>
    </i>
    <i>
      <x v="2"/>
    </i>
    <i>
      <x v="3"/>
    </i>
    <i>
      <x v="4"/>
    </i>
    <i>
      <x v="5"/>
    </i>
  </rowItems>
  <colItems count="1">
    <i/>
  </colItems>
  <dataFields count="1">
    <dataField name="Total Profit" fld="11" subtotal="count" baseField="3" baseItem="0"/>
  </dataFields>
  <formats count="8">
    <format dxfId="27">
      <pivotArea collapsedLevelsAreSubtotals="1" fieldPosition="0">
        <references count="1">
          <reference field="3" count="1">
            <x v="2"/>
          </reference>
        </references>
      </pivotArea>
    </format>
    <format dxfId="28">
      <pivotArea collapsedLevelsAreSubtotals="1" fieldPosition="0">
        <references count="1">
          <reference field="3" count="1">
            <x v="1"/>
          </reference>
        </references>
      </pivotArea>
    </format>
    <format dxfId="29">
      <pivotArea collapsedLevelsAreSubtotals="1" fieldPosition="0">
        <references count="1">
          <reference field="3" count="1">
            <x v="3"/>
          </reference>
        </references>
      </pivotArea>
    </format>
    <format dxfId="30">
      <pivotArea type="all" dataOnly="0" outline="0" fieldPosition="0"/>
    </format>
    <format dxfId="31">
      <pivotArea outline="0" collapsedLevelsAreSubtotals="1" fieldPosition="0"/>
    </format>
    <format dxfId="32">
      <pivotArea field="3" type="button" dataOnly="0" labelOnly="1" outline="0" axis="axisRow" fieldPosition="0"/>
    </format>
    <format dxfId="33">
      <pivotArea dataOnly="0" labelOnly="1" fieldPosition="0">
        <references count="1">
          <reference field="3" count="0"/>
        </references>
      </pivotArea>
    </format>
    <format dxfId="34">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4"/>
          </reference>
        </references>
      </pivotArea>
    </chartFormat>
    <chartFormat chart="0" format="2">
      <pivotArea type="data" outline="0" fieldPosition="0">
        <references count="2">
          <reference field="4294967294" count="1" selected="0">
            <x v="0"/>
          </reference>
          <reference field="3" count="1" selected="0">
            <x v="5"/>
          </reference>
        </references>
      </pivotArea>
    </chartFormat>
    <chartFormat chart="0" format="3">
      <pivotArea type="data" outline="0" fieldPosition="0">
        <references count="2">
          <reference field="4294967294" count="1" selected="0">
            <x v="0"/>
          </reference>
          <reference field="3" count="1" selected="0">
            <x v="1"/>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2"/>
          </reference>
        </references>
      </pivotArea>
    </chartFormat>
    <chartFormat chart="0" format="6">
      <pivotArea type="data" outline="0" fieldPosition="0">
        <references count="2">
          <reference field="4294967294" count="1" selected="0">
            <x v="0"/>
          </reference>
          <reference field="3" count="1" selected="0">
            <x v="0"/>
          </reference>
        </references>
      </pivotArea>
    </chartFormat>
  </chartFormats>
  <pivotTableStyleInfo name="PivotStyleLight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1714F5-2ACE-41B5-ACCE-C4CEE85EC28F}" name="PivotTable2" cacheId="1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Date">
  <location ref="G5:H9" firstHeaderRow="1" firstDataRow="1" firstDataCol="1"/>
  <pivotFields count="12">
    <pivotField showAll="0"/>
    <pivotField axis="axisRow" numFmtId="14" showAll="0">
      <items count="5">
        <item sd="0" x="0"/>
        <item sd="0" x="1"/>
        <item sd="0" x="2"/>
        <item sd="0" x="3"/>
        <item t="default"/>
      </items>
    </pivotField>
    <pivotField axis="axisRow" showAll="0">
      <items count="25">
        <item x="16"/>
        <item x="17"/>
        <item x="13"/>
        <item x="15"/>
        <item x="19"/>
        <item x="11"/>
        <item x="4"/>
        <item x="23"/>
        <item x="20"/>
        <item x="18"/>
        <item x="2"/>
        <item x="21"/>
        <item x="3"/>
        <item x="6"/>
        <item x="22"/>
        <item x="10"/>
        <item x="12"/>
        <item x="8"/>
        <item x="5"/>
        <item x="9"/>
        <item x="7"/>
        <item x="14"/>
        <item x="1"/>
        <item x="0"/>
        <item t="default"/>
      </items>
    </pivotField>
    <pivotField showAll="0">
      <items count="7">
        <item h="1" x="5"/>
        <item h="1" x="0"/>
        <item h="1" x="1"/>
        <item h="1" x="2"/>
        <item h="1" x="3"/>
        <item x="4"/>
        <item t="default"/>
      </items>
    </pivotField>
    <pivotField showAll="0" measureFilter="1">
      <items count="22">
        <item sd="0" x="15"/>
        <item sd="0" x="0"/>
        <item sd="0" x="2"/>
        <item sd="0" x="7"/>
        <item sd="0" x="5"/>
        <item sd="0" x="6"/>
        <item sd="0" x="20"/>
        <item sd="0" x="17"/>
        <item sd="0" x="13"/>
        <item sd="0" x="14"/>
        <item sd="0" x="1"/>
        <item sd="0" x="10"/>
        <item sd="0" x="18"/>
        <item sd="0" x="11"/>
        <item sd="0" x="19"/>
        <item sd="0" x="3"/>
        <item sd="0" x="8"/>
        <item x="4"/>
        <item x="9"/>
        <item x="12"/>
        <item x="16"/>
        <item t="default"/>
      </items>
    </pivotField>
    <pivotField showAll="0"/>
    <pivotField showAll="0"/>
    <pivotField dataField="1" showAll="0"/>
    <pivotField showAll="0"/>
    <pivotField showAll="0"/>
    <pivotField showAll="0"/>
    <pivotField showAll="0"/>
  </pivotFields>
  <rowFields count="2">
    <field x="1"/>
    <field x="2"/>
  </rowFields>
  <rowItems count="4">
    <i>
      <x/>
    </i>
    <i>
      <x v="1"/>
    </i>
    <i>
      <x v="2"/>
    </i>
    <i>
      <x v="3"/>
    </i>
  </rowItems>
  <colItems count="1">
    <i/>
  </colItems>
  <dataFields count="1">
    <dataField name="Revenue " fld="7" baseField="4" baseItem="0"/>
  </dataFields>
  <formats count="11">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fieldPosition="0">
        <references count="1">
          <reference field="1" count="0"/>
        </references>
      </pivotArea>
    </format>
    <format dxfId="4">
      <pivotArea dataOnly="0" labelOnly="1" outline="0" axis="axisValues" fieldPosition="0"/>
    </format>
    <format dxfId="5">
      <pivotArea type="all" dataOnly="0" outline="0" fieldPosition="0"/>
    </format>
    <format dxfId="6">
      <pivotArea outline="0" collapsedLevelsAreSubtotals="1" fieldPosition="0"/>
    </format>
    <format dxfId="7">
      <pivotArea field="1" type="button" dataOnly="0" labelOnly="1" outline="0" axis="axisRow" fieldPosition="0"/>
    </format>
    <format dxfId="8">
      <pivotArea dataOnly="0" labelOnly="1" fieldPosition="0">
        <references count="1">
          <reference field="1" count="0"/>
        </references>
      </pivotArea>
    </format>
    <format dxfId="9">
      <pivotArea dataOnly="0" labelOnly="1" outline="0" axis="axisValues" fieldPosition="0"/>
    </format>
    <format dxfId="1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5" showRowHeaders="1" showColHeaders="1" showRowStripes="0" showColStripes="0" showLastColumn="1"/>
  <filters count="1">
    <filter fld="4" type="count" evalOrder="-1" id="1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D2E813-9D20-460C-9981-0C9BBF86FB27}" name="PivotTable1" cacheId="1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Product">
  <location ref="A5:B14" firstHeaderRow="1" firstDataRow="1" firstDataCol="1"/>
  <pivotFields count="12">
    <pivotField showAll="0"/>
    <pivotField numFmtId="14" showAll="0"/>
    <pivotField axis="axisRow" showAll="0" measureFilter="1">
      <items count="25">
        <item sd="0" x="16"/>
        <item sd="0" x="17"/>
        <item sd="0" x="13"/>
        <item sd="0" x="15"/>
        <item sd="0" x="19"/>
        <item sd="0" x="11"/>
        <item sd="0" x="4"/>
        <item sd="0" x="23"/>
        <item sd="0" x="20"/>
        <item sd="0" x="18"/>
        <item sd="0" x="2"/>
        <item sd="0" x="21"/>
        <item sd="0" x="3"/>
        <item sd="0" x="6"/>
        <item sd="0" x="22"/>
        <item sd="0" x="10"/>
        <item sd="0" x="12"/>
        <item sd="0" x="8"/>
        <item sd="0" x="5"/>
        <item sd="0" x="9"/>
        <item sd="0" x="7"/>
        <item sd="0" x="14"/>
        <item sd="0" x="1"/>
        <item sd="0" x="0"/>
        <item t="default" sd="0"/>
      </items>
    </pivotField>
    <pivotField showAll="0">
      <items count="7">
        <item sd="0" x="5"/>
        <item h="1" sd="0" x="0"/>
        <item h="1" sd="0" x="1"/>
        <item h="1" sd="0" x="2"/>
        <item h="1" sd="0" x="3"/>
        <item h="1" sd="0" x="4"/>
        <item t="default"/>
      </items>
    </pivotField>
    <pivotField axis="axisRow" showAll="0" measureFilter="1">
      <items count="22">
        <item sd="0" x="15"/>
        <item sd="0" x="0"/>
        <item x="2"/>
        <item x="7"/>
        <item x="5"/>
        <item sd="0" x="6"/>
        <item x="20"/>
        <item sd="0" x="17"/>
        <item x="13"/>
        <item x="14"/>
        <item x="1"/>
        <item x="10"/>
        <item x="18"/>
        <item sd="0" x="11"/>
        <item sd="0" x="19"/>
        <item x="3"/>
        <item x="8"/>
        <item x="4"/>
        <item x="9"/>
        <item sd="0" x="12"/>
        <item x="16"/>
        <item t="default"/>
      </items>
    </pivotField>
    <pivotField showAll="0"/>
    <pivotField showAll="0"/>
    <pivotField dataField="1" showAll="0"/>
    <pivotField showAll="0"/>
    <pivotField showAll="0"/>
    <pivotField showAll="0"/>
    <pivotField showAll="0"/>
  </pivotFields>
  <rowFields count="2">
    <field x="2"/>
    <field x="4"/>
  </rowFields>
  <rowItems count="9">
    <i>
      <x v="1"/>
    </i>
    <i>
      <x v="4"/>
    </i>
    <i>
      <x v="5"/>
    </i>
    <i>
      <x v="6"/>
    </i>
    <i>
      <x v="9"/>
    </i>
    <i>
      <x v="13"/>
    </i>
    <i>
      <x v="16"/>
    </i>
    <i>
      <x v="19"/>
    </i>
    <i>
      <x v="23"/>
    </i>
  </rowItems>
  <colItems count="1">
    <i/>
  </colItems>
  <dataFields count="1">
    <dataField name=" Revenue" fld="7" baseField="3" baseItem="0"/>
  </dataFields>
  <formats count="11">
    <format dxfId="11">
      <pivotArea type="all" dataOnly="0" outline="0" fieldPosition="0"/>
    </format>
    <format dxfId="12">
      <pivotArea outline="0" collapsedLevelsAreSubtotals="1" fieldPosition="0"/>
    </format>
    <format dxfId="13">
      <pivotArea field="2" type="button" dataOnly="0" labelOnly="1" outline="0" axis="axisRow" fieldPosition="0"/>
    </format>
    <format dxfId="14">
      <pivotArea dataOnly="0" labelOnly="1" fieldPosition="0">
        <references count="1">
          <reference field="2" count="9">
            <x v="1"/>
            <x v="4"/>
            <x v="5"/>
            <x v="6"/>
            <x v="9"/>
            <x v="13"/>
            <x v="16"/>
            <x v="19"/>
            <x v="23"/>
          </reference>
        </references>
      </pivotArea>
    </format>
    <format dxfId="15">
      <pivotArea dataOnly="0" labelOnly="1" outline="0" axis="axisValues" fieldPosition="0"/>
    </format>
    <format dxfId="16">
      <pivotArea type="all" dataOnly="0" outline="0" fieldPosition="0"/>
    </format>
    <format dxfId="17">
      <pivotArea outline="0" collapsedLevelsAreSubtotals="1" fieldPosition="0"/>
    </format>
    <format dxfId="18">
      <pivotArea field="2" type="button" dataOnly="0" labelOnly="1" outline="0" axis="axisRow" fieldPosition="0"/>
    </format>
    <format dxfId="19">
      <pivotArea dataOnly="0" labelOnly="1" fieldPosition="0">
        <references count="1">
          <reference field="2" count="9">
            <x v="1"/>
            <x v="4"/>
            <x v="5"/>
            <x v="6"/>
            <x v="9"/>
            <x v="13"/>
            <x v="16"/>
            <x v="19"/>
            <x v="23"/>
          </reference>
        </references>
      </pivotArea>
    </format>
    <format dxfId="20">
      <pivotArea dataOnly="0" labelOnly="1" outline="0" axis="axisValues" fieldPosition="0"/>
    </format>
    <format dxfId="2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3" showRowHeaders="1" showColHeaders="1" showRowStripes="0" showColStripes="0" showLastColumn="1"/>
  <filters count="2">
    <filter fld="4" type="count" evalOrder="-1" id="9" iMeasureFld="0">
      <autoFilter ref="A1">
        <filterColumn colId="0">
          <top10 val="5" filterVal="5"/>
        </filterColumn>
      </autoFilter>
    </filter>
    <filter fld="2" type="count" evalOrder="-1" id="1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7B92BCC-726C-4A95-B51A-4BB57A8CC7E7}" sourceName="Category">
  <data>
    <tabular pivotCacheId="1479241704">
      <items count="6">
        <i x="5" s="1"/>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F1A0B4C-C65D-47BE-AFE9-4FBA8D966B42}" cache="Slicer_Category" caption="Category" columnCount="6"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D509B-861C-4E22-BB0B-6DDC696C59CD}">
  <sheetPr codeName="Sheet1"/>
  <dimension ref="A1:AA50"/>
  <sheetViews>
    <sheetView showGridLines="0" showRowColHeaders="0" tabSelected="1" workbookViewId="0">
      <selection activeCell="I13" sqref="I13"/>
    </sheetView>
  </sheetViews>
  <sheetFormatPr defaultRowHeight="15" x14ac:dyDescent="0.25"/>
  <cols>
    <col min="1" max="1" width="22" bestFit="1" customWidth="1"/>
    <col min="2" max="2" width="9.28515625" bestFit="1" customWidth="1"/>
    <col min="3" max="3" width="4.140625" customWidth="1"/>
    <col min="4" max="4" width="12.7109375" bestFit="1" customWidth="1"/>
    <col min="5" max="5" width="10.85546875" bestFit="1" customWidth="1"/>
    <col min="6" max="6" width="4" customWidth="1"/>
    <col min="7" max="7" width="21.7109375" customWidth="1"/>
    <col min="8" max="8" width="11.85546875" customWidth="1"/>
    <col min="9" max="9" width="3.7109375" customWidth="1"/>
    <col min="10" max="10" width="16.85546875" bestFit="1" customWidth="1"/>
    <col min="11" max="11" width="9.7109375" bestFit="1" customWidth="1"/>
  </cols>
  <sheetData>
    <row r="1" spans="1:27" ht="33" customHeight="1" x14ac:dyDescent="0.35">
      <c r="A1" s="15" t="s">
        <v>72</v>
      </c>
      <c r="B1" s="14"/>
      <c r="C1" s="14"/>
      <c r="D1" s="14"/>
      <c r="E1" s="14"/>
      <c r="F1" s="14"/>
      <c r="G1" s="14"/>
      <c r="H1" s="14"/>
      <c r="I1" s="14"/>
      <c r="J1" s="14"/>
      <c r="K1" s="14"/>
      <c r="L1" s="14"/>
      <c r="M1" s="14"/>
      <c r="N1" s="14"/>
      <c r="O1" s="14"/>
      <c r="P1" s="14"/>
      <c r="Q1" s="14"/>
      <c r="R1" s="14"/>
    </row>
    <row r="2" spans="1:27" ht="43.5" customHeight="1" x14ac:dyDescent="0.25">
      <c r="A2" s="13" t="b">
        <v>1</v>
      </c>
      <c r="B2" s="13"/>
      <c r="C2" s="13"/>
      <c r="D2" s="13" t="b">
        <v>1</v>
      </c>
      <c r="E2" s="13"/>
      <c r="F2" s="13"/>
      <c r="G2" s="13" t="b">
        <v>1</v>
      </c>
      <c r="H2" s="13"/>
      <c r="I2" s="13"/>
      <c r="J2" s="13" t="b">
        <v>1</v>
      </c>
      <c r="K2" s="13"/>
      <c r="L2" s="13"/>
      <c r="M2" s="13"/>
      <c r="N2" s="13"/>
      <c r="O2" s="13"/>
      <c r="P2" s="13"/>
      <c r="Q2" s="13"/>
      <c r="R2" s="13"/>
      <c r="S2" s="13"/>
      <c r="T2" s="13"/>
      <c r="U2" s="13"/>
      <c r="V2" s="13"/>
      <c r="W2" s="13"/>
      <c r="X2" s="13"/>
      <c r="Y2" s="13"/>
      <c r="Z2" s="13"/>
      <c r="AA2" s="13"/>
    </row>
    <row r="3" spans="1:27" ht="21.75" customHeight="1" x14ac:dyDescent="0.25">
      <c r="A3" s="13" t="b">
        <v>1</v>
      </c>
      <c r="B3" s="13"/>
      <c r="C3" s="13"/>
      <c r="D3" s="13"/>
      <c r="E3" s="13"/>
      <c r="F3" s="13"/>
      <c r="G3" s="13"/>
      <c r="H3" s="13"/>
      <c r="I3" s="13"/>
      <c r="J3" s="13"/>
      <c r="K3" s="13"/>
      <c r="L3" s="13"/>
      <c r="M3" s="13"/>
      <c r="N3" s="13"/>
      <c r="O3" s="13"/>
      <c r="P3" s="13"/>
      <c r="Q3" s="13"/>
      <c r="R3" s="13"/>
      <c r="S3" s="13"/>
      <c r="T3" s="13"/>
      <c r="U3" s="13"/>
      <c r="V3" s="13"/>
      <c r="W3" s="13"/>
      <c r="X3" s="13"/>
      <c r="Y3" s="13"/>
      <c r="Z3" s="13"/>
      <c r="AA3" s="13"/>
    </row>
    <row r="4" spans="1:27" ht="19.5" customHeight="1" x14ac:dyDescent="0.25">
      <c r="A4" s="13"/>
      <c r="B4" s="13"/>
      <c r="C4" s="13"/>
      <c r="D4" s="13"/>
      <c r="E4" s="13"/>
      <c r="F4" s="13"/>
      <c r="G4" s="13"/>
      <c r="H4" s="13"/>
      <c r="I4" s="13"/>
      <c r="J4" s="13"/>
      <c r="K4" s="13"/>
      <c r="L4" s="13"/>
      <c r="M4" s="13"/>
      <c r="N4" s="13"/>
      <c r="O4" s="13"/>
      <c r="P4" s="13"/>
      <c r="Q4" s="13"/>
      <c r="R4" s="13"/>
      <c r="S4" s="13"/>
      <c r="T4" s="13"/>
      <c r="U4" s="13"/>
      <c r="V4" s="13"/>
      <c r="W4" s="13"/>
      <c r="X4" s="13"/>
      <c r="Y4" s="13"/>
      <c r="Z4" s="13"/>
      <c r="AA4" s="13"/>
    </row>
    <row r="5" spans="1:27" x14ac:dyDescent="0.25">
      <c r="A5" s="10" t="s">
        <v>71</v>
      </c>
      <c r="B5" s="10" t="s">
        <v>68</v>
      </c>
      <c r="C5" s="13"/>
      <c r="D5" s="10" t="s">
        <v>66</v>
      </c>
      <c r="E5" s="10" t="s">
        <v>69</v>
      </c>
      <c r="F5" s="13"/>
      <c r="G5" s="10" t="s">
        <v>1</v>
      </c>
      <c r="H5" s="10" t="s">
        <v>67</v>
      </c>
      <c r="I5" s="13"/>
      <c r="J5" s="13"/>
      <c r="K5" s="13"/>
      <c r="L5" s="13"/>
      <c r="M5" s="13"/>
      <c r="N5" s="13"/>
      <c r="O5" s="13"/>
      <c r="P5" s="13"/>
      <c r="Q5" s="13"/>
      <c r="R5" s="13"/>
      <c r="S5" s="13"/>
      <c r="T5" s="13"/>
      <c r="U5" s="13"/>
      <c r="V5" s="13"/>
      <c r="W5" s="13"/>
      <c r="X5" s="13"/>
      <c r="Y5" s="13"/>
      <c r="Z5" s="13"/>
      <c r="AA5" s="13"/>
    </row>
    <row r="6" spans="1:27" x14ac:dyDescent="0.25">
      <c r="A6" s="8" t="s">
        <v>53</v>
      </c>
      <c r="B6" s="9">
        <v>600</v>
      </c>
      <c r="C6" s="13"/>
      <c r="D6" s="8" t="s">
        <v>34</v>
      </c>
      <c r="E6" s="9">
        <v>1</v>
      </c>
      <c r="F6" s="13"/>
      <c r="G6" s="11">
        <v>46082</v>
      </c>
      <c r="H6" s="9">
        <v>1010</v>
      </c>
      <c r="I6" s="13"/>
      <c r="J6" s="10" t="s">
        <v>8</v>
      </c>
      <c r="K6" s="10" t="s">
        <v>70</v>
      </c>
      <c r="L6" s="13"/>
      <c r="M6" s="13"/>
      <c r="N6" s="13"/>
      <c r="O6" s="13"/>
      <c r="P6" s="13"/>
      <c r="Q6" s="13"/>
      <c r="R6" s="13"/>
      <c r="S6" s="13"/>
      <c r="T6" s="13"/>
      <c r="U6" s="13"/>
      <c r="V6" s="13"/>
      <c r="W6" s="13"/>
      <c r="X6" s="13"/>
      <c r="Y6" s="13"/>
      <c r="Z6" s="13"/>
      <c r="AA6" s="13"/>
    </row>
    <row r="7" spans="1:27" x14ac:dyDescent="0.25">
      <c r="A7" s="8" t="s">
        <v>58</v>
      </c>
      <c r="B7" s="9">
        <v>600</v>
      </c>
      <c r="C7" s="13"/>
      <c r="D7" s="8" t="s">
        <v>13</v>
      </c>
      <c r="E7" s="9">
        <v>5</v>
      </c>
      <c r="F7" s="13"/>
      <c r="G7" s="11">
        <v>46083</v>
      </c>
      <c r="H7" s="9">
        <v>2370</v>
      </c>
      <c r="I7" s="13"/>
      <c r="J7" s="8" t="s">
        <v>15</v>
      </c>
      <c r="K7" s="9">
        <v>3710</v>
      </c>
      <c r="L7" s="13"/>
      <c r="M7" s="13"/>
      <c r="N7" s="13"/>
      <c r="O7" s="13"/>
      <c r="P7" s="13"/>
      <c r="Q7" s="13"/>
      <c r="R7" s="13"/>
      <c r="S7" s="13"/>
      <c r="T7" s="13"/>
      <c r="U7" s="13"/>
      <c r="V7" s="13"/>
      <c r="W7" s="13"/>
      <c r="X7" s="13"/>
      <c r="Y7" s="13"/>
      <c r="Z7" s="13"/>
      <c r="AA7" s="13"/>
    </row>
    <row r="8" spans="1:27" x14ac:dyDescent="0.25">
      <c r="A8" s="8" t="s">
        <v>43</v>
      </c>
      <c r="B8" s="9">
        <v>650</v>
      </c>
      <c r="C8" s="13"/>
      <c r="D8" s="8" t="s">
        <v>17</v>
      </c>
      <c r="E8" s="9">
        <v>4</v>
      </c>
      <c r="F8" s="13"/>
      <c r="G8" s="11">
        <v>46084</v>
      </c>
      <c r="H8" s="9">
        <v>3380</v>
      </c>
      <c r="I8" s="13"/>
      <c r="J8" s="8" t="s">
        <v>19</v>
      </c>
      <c r="K8" s="9">
        <v>6570</v>
      </c>
      <c r="L8" s="13"/>
      <c r="M8" s="13"/>
      <c r="N8" s="13"/>
      <c r="O8" s="13"/>
      <c r="P8" s="13"/>
      <c r="Q8" s="13"/>
      <c r="R8" s="13"/>
      <c r="S8" s="13"/>
      <c r="T8" s="13"/>
      <c r="U8" s="13"/>
      <c r="V8" s="13"/>
      <c r="W8" s="13"/>
      <c r="X8" s="13"/>
      <c r="Y8" s="13"/>
      <c r="Z8" s="13"/>
      <c r="AA8" s="13"/>
    </row>
    <row r="9" spans="1:27" x14ac:dyDescent="0.25">
      <c r="A9" s="8" t="s">
        <v>24</v>
      </c>
      <c r="B9" s="9">
        <v>1150</v>
      </c>
      <c r="C9" s="13"/>
      <c r="D9" s="8" t="s">
        <v>21</v>
      </c>
      <c r="E9" s="12">
        <v>5</v>
      </c>
      <c r="F9" s="13"/>
      <c r="G9" s="11">
        <v>46085</v>
      </c>
      <c r="H9" s="9">
        <v>3520</v>
      </c>
      <c r="I9" s="13"/>
      <c r="J9" s="13"/>
      <c r="K9" s="13"/>
      <c r="L9" s="13"/>
      <c r="M9" s="13"/>
      <c r="N9" s="13"/>
      <c r="O9" s="13"/>
      <c r="P9" s="13"/>
      <c r="Q9" s="13"/>
      <c r="R9" s="13"/>
      <c r="S9" s="13"/>
      <c r="T9" s="13"/>
      <c r="U9" s="13"/>
      <c r="V9" s="13"/>
      <c r="W9" s="13"/>
      <c r="X9" s="13"/>
      <c r="Y9" s="13"/>
      <c r="Z9" s="13"/>
      <c r="AA9" s="13"/>
    </row>
    <row r="10" spans="1:27" x14ac:dyDescent="0.25">
      <c r="A10" s="8" t="s">
        <v>55</v>
      </c>
      <c r="B10" s="9">
        <v>1000</v>
      </c>
      <c r="C10" s="13"/>
      <c r="D10" s="8" t="s">
        <v>25</v>
      </c>
      <c r="E10" s="9">
        <v>10</v>
      </c>
      <c r="F10" s="13"/>
      <c r="G10" s="13"/>
      <c r="H10" s="13"/>
      <c r="I10" s="13"/>
      <c r="J10" s="13"/>
      <c r="K10" s="13"/>
      <c r="L10" s="13"/>
      <c r="M10" s="13"/>
      <c r="N10" s="13"/>
      <c r="O10" s="13"/>
      <c r="P10" s="13"/>
      <c r="Q10" s="13"/>
      <c r="R10" s="13"/>
      <c r="S10" s="13"/>
      <c r="T10" s="13"/>
      <c r="U10" s="13"/>
      <c r="V10" s="13"/>
      <c r="W10" s="13"/>
      <c r="X10" s="13"/>
      <c r="Y10" s="13"/>
      <c r="Z10" s="13"/>
      <c r="AA10" s="13"/>
    </row>
    <row r="11" spans="1:27" x14ac:dyDescent="0.25">
      <c r="A11" s="8" t="s">
        <v>31</v>
      </c>
      <c r="B11" s="9">
        <v>600</v>
      </c>
      <c r="C11" s="13"/>
      <c r="D11" s="8" t="s">
        <v>27</v>
      </c>
      <c r="E11" s="9">
        <v>4</v>
      </c>
      <c r="F11" s="13"/>
      <c r="G11" s="13"/>
      <c r="H11" s="13"/>
      <c r="I11" s="13"/>
      <c r="J11" s="13"/>
      <c r="K11" s="13"/>
      <c r="L11" s="13"/>
      <c r="M11" s="13"/>
      <c r="N11" s="13"/>
      <c r="O11" s="13"/>
      <c r="P11" s="13"/>
      <c r="Q11" s="13"/>
      <c r="R11" s="13"/>
      <c r="S11" s="13"/>
      <c r="T11" s="13"/>
      <c r="U11" s="13"/>
      <c r="V11" s="13"/>
      <c r="W11" s="13"/>
      <c r="X11" s="13"/>
      <c r="Y11" s="13"/>
      <c r="Z11" s="13"/>
      <c r="AA11" s="13"/>
    </row>
    <row r="12" spans="1:27" x14ac:dyDescent="0.25">
      <c r="A12" s="8" t="s">
        <v>44</v>
      </c>
      <c r="B12" s="9">
        <v>1050</v>
      </c>
      <c r="C12" s="13"/>
      <c r="D12" s="13"/>
      <c r="E12" s="13"/>
      <c r="F12" s="13"/>
      <c r="G12" s="13"/>
      <c r="H12" s="13"/>
      <c r="I12" s="13"/>
      <c r="J12" s="13"/>
      <c r="K12" s="13"/>
      <c r="L12" s="13"/>
      <c r="M12" s="13"/>
      <c r="N12" s="13"/>
      <c r="O12" s="13"/>
      <c r="P12" s="13"/>
      <c r="Q12" s="13"/>
      <c r="R12" s="13"/>
      <c r="S12" s="13"/>
      <c r="T12" s="13"/>
      <c r="U12" s="13"/>
      <c r="V12" s="13"/>
      <c r="W12" s="13"/>
      <c r="X12" s="13"/>
      <c r="Y12" s="13"/>
      <c r="Z12" s="13"/>
      <c r="AA12" s="13"/>
    </row>
    <row r="13" spans="1:27" x14ac:dyDescent="0.25">
      <c r="A13" s="8" t="s">
        <v>39</v>
      </c>
      <c r="B13" s="9">
        <v>600</v>
      </c>
      <c r="C13" s="13"/>
      <c r="D13" s="13"/>
      <c r="E13" s="13"/>
      <c r="F13" s="13"/>
      <c r="G13" s="13"/>
      <c r="H13" s="13"/>
      <c r="I13" s="13"/>
      <c r="J13" s="13"/>
      <c r="K13" s="13"/>
      <c r="L13" s="13"/>
      <c r="M13" s="13"/>
      <c r="N13" s="13"/>
      <c r="O13" s="13"/>
      <c r="P13" s="13"/>
      <c r="Q13" s="13"/>
      <c r="R13" s="13"/>
      <c r="S13" s="13"/>
      <c r="T13" s="13"/>
      <c r="U13" s="13"/>
      <c r="V13" s="13"/>
      <c r="W13" s="13"/>
      <c r="X13" s="13"/>
      <c r="Y13" s="13"/>
      <c r="Z13" s="13"/>
      <c r="AA13" s="13"/>
    </row>
    <row r="14" spans="1:27" x14ac:dyDescent="0.25">
      <c r="A14" s="8" t="s">
        <v>12</v>
      </c>
      <c r="B14" s="9">
        <v>600</v>
      </c>
      <c r="C14" s="13"/>
      <c r="D14" s="13"/>
      <c r="E14" s="13"/>
      <c r="F14" s="13"/>
      <c r="G14" s="13"/>
      <c r="H14" s="13"/>
      <c r="I14" s="13"/>
      <c r="J14" s="13"/>
      <c r="K14" s="13"/>
      <c r="L14" s="13"/>
      <c r="M14" s="13"/>
      <c r="N14" s="13"/>
      <c r="O14" s="13"/>
      <c r="P14" s="13"/>
      <c r="Q14" s="13"/>
      <c r="R14" s="13"/>
      <c r="S14" s="13"/>
      <c r="T14" s="13"/>
      <c r="U14" s="13"/>
      <c r="V14" s="13"/>
      <c r="W14" s="13"/>
      <c r="X14" s="13"/>
      <c r="Y14" s="13"/>
      <c r="Z14" s="13"/>
      <c r="AA14" s="13"/>
    </row>
    <row r="15" spans="1:27" x14ac:dyDescent="0.2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row>
    <row r="16" spans="1:27" x14ac:dyDescent="0.25">
      <c r="C16" s="13"/>
      <c r="F16" s="13"/>
      <c r="G16" s="13"/>
      <c r="I16" s="13"/>
      <c r="J16" s="13"/>
      <c r="K16" s="13"/>
      <c r="L16" s="13"/>
      <c r="M16" s="13"/>
      <c r="N16" s="13"/>
      <c r="O16" s="13"/>
      <c r="P16" s="13"/>
      <c r="Q16" s="13"/>
      <c r="R16" s="13"/>
      <c r="S16" s="13"/>
      <c r="T16" s="13"/>
      <c r="U16" s="13"/>
      <c r="V16" s="13"/>
      <c r="W16" s="13"/>
      <c r="X16" s="13"/>
      <c r="Y16" s="13"/>
      <c r="Z16" s="13"/>
      <c r="AA16" s="13"/>
    </row>
    <row r="17" spans="1:27" x14ac:dyDescent="0.25">
      <c r="C17" s="13"/>
      <c r="F17" s="13"/>
      <c r="G17" s="13"/>
      <c r="I17" s="13"/>
      <c r="J17" s="13"/>
      <c r="K17" s="13"/>
      <c r="L17" s="13"/>
      <c r="M17" s="13"/>
      <c r="N17" s="13"/>
      <c r="O17" s="13"/>
      <c r="P17" s="13"/>
      <c r="Q17" s="13"/>
      <c r="R17" s="13"/>
      <c r="S17" s="13"/>
      <c r="T17" s="13"/>
      <c r="U17" s="13"/>
      <c r="V17" s="13"/>
      <c r="W17" s="13"/>
      <c r="X17" s="13"/>
      <c r="Y17" s="13"/>
      <c r="Z17" s="13"/>
      <c r="AA17" s="13"/>
    </row>
    <row r="18" spans="1:27" x14ac:dyDescent="0.25">
      <c r="C18" s="13"/>
      <c r="F18" s="13"/>
      <c r="G18" s="13"/>
      <c r="I18" s="13"/>
      <c r="J18" s="13"/>
      <c r="K18" s="13"/>
      <c r="L18" s="13"/>
      <c r="M18" s="13"/>
      <c r="N18" s="13"/>
      <c r="O18" s="13"/>
      <c r="P18" s="13"/>
      <c r="Q18" s="13"/>
      <c r="R18" s="13"/>
      <c r="S18" s="13"/>
      <c r="T18" s="13"/>
      <c r="U18" s="13"/>
      <c r="V18" s="13"/>
      <c r="W18" s="13"/>
      <c r="X18" s="13"/>
      <c r="Y18" s="13"/>
      <c r="Z18" s="13"/>
      <c r="AA18" s="13"/>
    </row>
    <row r="19" spans="1:27" x14ac:dyDescent="0.25">
      <c r="C19" s="13"/>
      <c r="F19" s="13"/>
      <c r="G19" s="13"/>
      <c r="I19" s="13"/>
      <c r="J19" s="13"/>
      <c r="K19" s="13"/>
      <c r="L19" s="13"/>
      <c r="M19" s="13"/>
      <c r="N19" s="13"/>
      <c r="O19" s="13"/>
      <c r="P19" s="13"/>
      <c r="Q19" s="13"/>
      <c r="R19" s="13"/>
      <c r="S19" s="13"/>
      <c r="T19" s="13"/>
      <c r="U19" s="13"/>
      <c r="V19" s="13"/>
      <c r="W19" s="13"/>
      <c r="X19" s="13"/>
      <c r="Y19" s="13"/>
      <c r="Z19" s="13"/>
      <c r="AA19" s="13"/>
    </row>
    <row r="20" spans="1:27" x14ac:dyDescent="0.25">
      <c r="C20" s="13"/>
      <c r="F20" s="13"/>
      <c r="G20" s="13"/>
      <c r="I20" s="13"/>
      <c r="J20" s="13"/>
      <c r="K20" s="13"/>
      <c r="L20" s="13"/>
      <c r="M20" s="13"/>
      <c r="N20" s="13"/>
      <c r="O20" s="13"/>
      <c r="P20" s="13"/>
      <c r="Q20" s="13"/>
      <c r="R20" s="13"/>
      <c r="S20" s="13"/>
      <c r="T20" s="13"/>
      <c r="U20" s="13"/>
      <c r="V20" s="13"/>
      <c r="W20" s="13"/>
      <c r="X20" s="13"/>
      <c r="Y20" s="13"/>
      <c r="Z20" s="13"/>
      <c r="AA20" s="13"/>
    </row>
    <row r="21" spans="1:27" x14ac:dyDescent="0.25">
      <c r="C21" s="13"/>
      <c r="F21" s="13"/>
      <c r="G21" s="13"/>
      <c r="I21" s="13"/>
      <c r="J21" s="13"/>
      <c r="K21" s="13"/>
      <c r="L21" s="13"/>
      <c r="M21" s="13"/>
      <c r="N21" s="13"/>
      <c r="O21" s="13"/>
      <c r="P21" s="13"/>
      <c r="Q21" s="13"/>
      <c r="R21" s="13"/>
      <c r="S21" s="13"/>
      <c r="T21" s="13"/>
      <c r="U21" s="13"/>
      <c r="V21" s="13"/>
      <c r="W21" s="13"/>
      <c r="X21" s="13"/>
      <c r="Y21" s="13"/>
      <c r="Z21" s="13"/>
      <c r="AA21" s="13"/>
    </row>
    <row r="22" spans="1:27" x14ac:dyDescent="0.25">
      <c r="C22" s="13"/>
      <c r="F22" s="13"/>
      <c r="G22" s="13"/>
      <c r="I22" s="13"/>
      <c r="J22" s="13"/>
      <c r="K22" s="13"/>
      <c r="L22" s="13"/>
      <c r="M22" s="13"/>
      <c r="N22" s="13"/>
      <c r="O22" s="13"/>
      <c r="P22" s="13"/>
      <c r="Q22" s="13"/>
      <c r="R22" s="13"/>
      <c r="S22" s="13"/>
      <c r="T22" s="13"/>
      <c r="U22" s="13"/>
      <c r="V22" s="13"/>
      <c r="W22" s="13"/>
      <c r="X22" s="13"/>
      <c r="Y22" s="13"/>
      <c r="Z22" s="13"/>
      <c r="AA22" s="13"/>
    </row>
    <row r="23" spans="1:27" x14ac:dyDescent="0.25">
      <c r="C23" s="13"/>
      <c r="F23" s="13"/>
      <c r="G23" s="13"/>
      <c r="I23" s="13"/>
      <c r="J23" s="13"/>
      <c r="K23" s="13"/>
      <c r="L23" s="13"/>
      <c r="M23" s="13"/>
      <c r="N23" s="13"/>
      <c r="O23" s="13"/>
      <c r="P23" s="13"/>
      <c r="Q23" s="13"/>
      <c r="R23" s="13"/>
      <c r="S23" s="13"/>
      <c r="T23" s="13"/>
      <c r="U23" s="13"/>
      <c r="V23" s="13"/>
      <c r="W23" s="13"/>
      <c r="X23" s="13"/>
      <c r="Y23" s="13"/>
      <c r="Z23" s="13"/>
      <c r="AA23" s="13"/>
    </row>
    <row r="24" spans="1:27" x14ac:dyDescent="0.25">
      <c r="C24" s="13"/>
      <c r="F24" s="13"/>
      <c r="G24" s="13"/>
      <c r="I24" s="13"/>
      <c r="J24" s="13"/>
      <c r="K24" s="13"/>
      <c r="L24" s="13"/>
      <c r="M24" s="13"/>
      <c r="N24" s="13"/>
      <c r="O24" s="13"/>
      <c r="P24" s="13"/>
      <c r="Q24" s="13"/>
      <c r="R24" s="13"/>
      <c r="S24" s="13"/>
      <c r="T24" s="13"/>
      <c r="U24" s="13"/>
      <c r="V24" s="13"/>
      <c r="W24" s="13"/>
      <c r="X24" s="13"/>
      <c r="Y24" s="13"/>
      <c r="Z24" s="13"/>
      <c r="AA24" s="13"/>
    </row>
    <row r="25" spans="1:27" x14ac:dyDescent="0.25">
      <c r="A25" s="13"/>
      <c r="B25" s="13"/>
      <c r="C25" s="13"/>
      <c r="F25" s="13"/>
      <c r="G25" s="13"/>
      <c r="I25" s="13"/>
      <c r="J25" s="13"/>
      <c r="K25" s="13"/>
      <c r="L25" s="13"/>
      <c r="M25" s="13"/>
      <c r="N25" s="13"/>
      <c r="O25" s="13"/>
      <c r="P25" s="13"/>
      <c r="Q25" s="13"/>
      <c r="R25" s="13"/>
      <c r="S25" s="13"/>
      <c r="T25" s="13"/>
      <c r="U25" s="13"/>
      <c r="V25" s="13"/>
      <c r="W25" s="13"/>
      <c r="X25" s="13"/>
      <c r="Y25" s="13"/>
      <c r="Z25" s="13"/>
      <c r="AA25" s="13"/>
    </row>
    <row r="26" spans="1:27" x14ac:dyDescent="0.25">
      <c r="A26" s="13"/>
      <c r="B26" s="13"/>
      <c r="C26" s="13"/>
      <c r="F26" s="13"/>
      <c r="G26" s="13"/>
      <c r="I26" s="13"/>
      <c r="J26" s="13"/>
      <c r="K26" s="13"/>
      <c r="L26" s="13"/>
      <c r="M26" s="13"/>
      <c r="N26" s="13"/>
      <c r="O26" s="13"/>
      <c r="P26" s="13"/>
      <c r="Q26" s="13"/>
      <c r="R26" s="13"/>
      <c r="S26" s="13"/>
      <c r="T26" s="13"/>
      <c r="U26" s="13"/>
      <c r="V26" s="13"/>
      <c r="W26" s="13"/>
      <c r="X26" s="13"/>
      <c r="Y26" s="13"/>
      <c r="Z26" s="13"/>
      <c r="AA26" s="13"/>
    </row>
    <row r="27" spans="1:27" x14ac:dyDescent="0.25">
      <c r="A27" s="13"/>
      <c r="B27" s="13"/>
      <c r="C27" s="13"/>
      <c r="F27" s="13"/>
      <c r="G27" s="13"/>
      <c r="I27" s="13"/>
      <c r="J27" s="13"/>
      <c r="K27" s="13"/>
      <c r="L27" s="13"/>
      <c r="M27" s="13"/>
      <c r="N27" s="13"/>
      <c r="O27" s="13"/>
      <c r="P27" s="13"/>
      <c r="Q27" s="13"/>
      <c r="R27" s="13"/>
      <c r="S27" s="13"/>
      <c r="T27" s="13"/>
      <c r="U27" s="13"/>
      <c r="V27" s="13"/>
      <c r="W27" s="13"/>
      <c r="X27" s="13"/>
      <c r="Y27" s="13"/>
      <c r="Z27" s="13"/>
      <c r="AA27" s="13"/>
    </row>
    <row r="28" spans="1:27" x14ac:dyDescent="0.25">
      <c r="A28" s="13"/>
      <c r="B28" s="13"/>
      <c r="C28" s="13"/>
      <c r="F28" s="13"/>
      <c r="G28" s="13"/>
      <c r="I28" s="13"/>
      <c r="J28" s="13"/>
      <c r="K28" s="13"/>
      <c r="L28" s="13"/>
      <c r="M28" s="13"/>
      <c r="N28" s="13"/>
      <c r="O28" s="13"/>
      <c r="P28" s="13"/>
      <c r="Q28" s="13"/>
      <c r="R28" s="13"/>
      <c r="S28" s="13"/>
      <c r="T28" s="13"/>
      <c r="U28" s="13"/>
      <c r="V28" s="13"/>
      <c r="W28" s="13"/>
      <c r="X28" s="13"/>
      <c r="Y28" s="13"/>
      <c r="Z28" s="13"/>
      <c r="AA28" s="13"/>
    </row>
    <row r="29" spans="1:27" x14ac:dyDescent="0.25">
      <c r="A29" s="13"/>
      <c r="B29" s="13"/>
      <c r="C29" s="13"/>
      <c r="F29" s="13"/>
      <c r="G29" s="13"/>
      <c r="I29" s="13"/>
      <c r="J29" s="13"/>
      <c r="K29" s="13"/>
      <c r="L29" s="13"/>
      <c r="M29" s="13"/>
      <c r="N29" s="13"/>
      <c r="O29" s="13"/>
      <c r="P29" s="13"/>
      <c r="Q29" s="13"/>
      <c r="R29" s="13"/>
      <c r="S29" s="13"/>
      <c r="T29" s="13"/>
      <c r="U29" s="13"/>
      <c r="V29" s="13"/>
      <c r="W29" s="13"/>
      <c r="X29" s="13"/>
      <c r="Y29" s="13"/>
      <c r="Z29" s="13"/>
      <c r="AA29" s="13"/>
    </row>
    <row r="30" spans="1:27" x14ac:dyDescent="0.2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row>
    <row r="31" spans="1:27"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row>
    <row r="32" spans="1:27"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row>
    <row r="33" spans="1:27"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row>
    <row r="34" spans="1:27"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row>
    <row r="35" spans="1:27"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row>
    <row r="36" spans="1:27"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row>
    <row r="37" spans="1:27"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row>
    <row r="38" spans="1:27"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row>
    <row r="39" spans="1:27"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row>
    <row r="40" spans="1:27" x14ac:dyDescent="0.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row>
    <row r="41" spans="1:27" x14ac:dyDescent="0.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row>
    <row r="42" spans="1:27" x14ac:dyDescent="0.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row>
    <row r="43" spans="1:27" x14ac:dyDescent="0.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row>
    <row r="44" spans="1:27" x14ac:dyDescent="0.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row>
    <row r="45" spans="1:27" x14ac:dyDescent="0.2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row>
    <row r="46" spans="1:27" x14ac:dyDescent="0.2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row>
    <row r="47" spans="1:27" x14ac:dyDescent="0.2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row>
    <row r="48" spans="1:27" x14ac:dyDescent="0.2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row>
    <row r="49" spans="1:27" x14ac:dyDescent="0.2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row>
    <row r="50" spans="1:27" x14ac:dyDescent="0.2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row>
  </sheetData>
  <mergeCells count="1">
    <mergeCell ref="A1:R1"/>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anchor moveWithCells="1">
                  <from>
                    <xdr:col>0</xdr:col>
                    <xdr:colOff>295275</xdr:colOff>
                    <xdr:row>2</xdr:row>
                    <xdr:rowOff>95250</xdr:rowOff>
                  </from>
                  <to>
                    <xdr:col>0</xdr:col>
                    <xdr:colOff>1314450</xdr:colOff>
                    <xdr:row>3</xdr:row>
                    <xdr:rowOff>38100</xdr:rowOff>
                  </to>
                </anchor>
              </controlPr>
            </control>
          </mc:Choice>
        </mc:AlternateContent>
        <mc:AlternateContent xmlns:mc="http://schemas.openxmlformats.org/markup-compatibility/2006">
          <mc:Choice Requires="x14">
            <control shapeId="1026" r:id="rId9" name="Check Box 2">
              <controlPr defaultSize="0" autoFill="0" autoLine="0" autoPict="0">
                <anchor moveWithCells="1">
                  <from>
                    <xdr:col>3</xdr:col>
                    <xdr:colOff>238125</xdr:colOff>
                    <xdr:row>2</xdr:row>
                    <xdr:rowOff>85725</xdr:rowOff>
                  </from>
                  <to>
                    <xdr:col>4</xdr:col>
                    <xdr:colOff>409575</xdr:colOff>
                    <xdr:row>3</xdr:row>
                    <xdr:rowOff>28575</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619125</xdr:colOff>
                    <xdr:row>2</xdr:row>
                    <xdr:rowOff>114300</xdr:rowOff>
                  </from>
                  <to>
                    <xdr:col>7</xdr:col>
                    <xdr:colOff>371475</xdr:colOff>
                    <xdr:row>3</xdr:row>
                    <xdr:rowOff>28575</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428625</xdr:colOff>
                    <xdr:row>2</xdr:row>
                    <xdr:rowOff>114300</xdr:rowOff>
                  </from>
                  <to>
                    <xdr:col>10</xdr:col>
                    <xdr:colOff>371475</xdr:colOff>
                    <xdr:row>3</xdr:row>
                    <xdr:rowOff>38100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2AD-E95C-4F74-A1DE-DE4ED336F522}">
  <sheetPr codeName="Sheet2"/>
  <dimension ref="A1:L33"/>
  <sheetViews>
    <sheetView topLeftCell="A4" workbookViewId="0">
      <selection activeCell="B5" sqref="A4:L33"/>
    </sheetView>
  </sheetViews>
  <sheetFormatPr defaultRowHeight="15" x14ac:dyDescent="0.25"/>
  <cols>
    <col min="2" max="2" width="11.5703125" customWidth="1"/>
    <col min="3" max="3" width="20.5703125" customWidth="1"/>
    <col min="4" max="4" width="14.7109375" customWidth="1"/>
    <col min="5" max="5" width="12.42578125" customWidth="1"/>
    <col min="7" max="7" width="12.28515625" customWidth="1"/>
    <col min="8" max="8" width="11.28515625" customWidth="1"/>
    <col min="9" max="9" width="16.42578125" customWidth="1"/>
    <col min="10" max="10" width="12.5703125" customWidth="1"/>
    <col min="11" max="11" width="11.85546875" customWidth="1"/>
    <col min="12" max="12" width="11" customWidth="1"/>
  </cols>
  <sheetData>
    <row r="1" spans="1:12" x14ac:dyDescent="0.25">
      <c r="A1" s="6" t="s">
        <v>65</v>
      </c>
      <c r="B1" s="7"/>
      <c r="C1" s="7"/>
      <c r="D1" s="7"/>
      <c r="E1" s="7"/>
      <c r="F1" s="7"/>
      <c r="G1" s="7"/>
      <c r="H1" s="7"/>
      <c r="I1" s="7"/>
      <c r="J1" s="7"/>
      <c r="K1" s="7"/>
      <c r="L1" s="7"/>
    </row>
    <row r="2" spans="1:12" x14ac:dyDescent="0.25">
      <c r="A2" s="7"/>
      <c r="B2" s="7"/>
      <c r="C2" s="7"/>
      <c r="D2" s="7"/>
      <c r="E2" s="7"/>
      <c r="F2" s="7"/>
      <c r="G2" s="7"/>
      <c r="H2" s="7"/>
      <c r="I2" s="7"/>
      <c r="J2" s="7"/>
      <c r="K2" s="7"/>
      <c r="L2" s="7"/>
    </row>
    <row r="3" spans="1:12" ht="21" x14ac:dyDescent="0.6">
      <c r="A3" s="2"/>
      <c r="B3" s="2"/>
      <c r="C3" s="2"/>
      <c r="D3" s="2"/>
      <c r="E3" s="2"/>
      <c r="F3" s="2"/>
      <c r="G3" s="2"/>
      <c r="H3" s="2"/>
      <c r="I3" s="2"/>
      <c r="J3" s="2"/>
      <c r="K3" s="2"/>
      <c r="L3" s="2"/>
    </row>
    <row r="4" spans="1:12" ht="21" x14ac:dyDescent="0.6">
      <c r="A4" s="2" t="s">
        <v>0</v>
      </c>
      <c r="B4" s="2" t="s">
        <v>1</v>
      </c>
      <c r="C4" s="2" t="s">
        <v>2</v>
      </c>
      <c r="D4" s="2" t="s">
        <v>3</v>
      </c>
      <c r="E4" s="2" t="s">
        <v>4</v>
      </c>
      <c r="F4" s="2" t="s">
        <v>5</v>
      </c>
      <c r="G4" s="2" t="s">
        <v>6</v>
      </c>
      <c r="H4" s="2" t="s">
        <v>7</v>
      </c>
      <c r="I4" s="2" t="s">
        <v>8</v>
      </c>
      <c r="J4" s="2" t="s">
        <v>9</v>
      </c>
      <c r="K4" s="2" t="s">
        <v>10</v>
      </c>
      <c r="L4" s="2" t="s">
        <v>11</v>
      </c>
    </row>
    <row r="5" spans="1:12" x14ac:dyDescent="0.25">
      <c r="A5" s="1">
        <v>1</v>
      </c>
      <c r="B5" s="4">
        <v>46082</v>
      </c>
      <c r="C5" s="1" t="s">
        <v>12</v>
      </c>
      <c r="D5" s="1" t="s">
        <v>13</v>
      </c>
      <c r="E5" s="1" t="s">
        <v>14</v>
      </c>
      <c r="F5" s="1">
        <v>1</v>
      </c>
      <c r="G5" s="1">
        <v>600</v>
      </c>
      <c r="H5" s="1">
        <v>600</v>
      </c>
      <c r="I5" s="1" t="s">
        <v>15</v>
      </c>
      <c r="J5" s="1">
        <v>370</v>
      </c>
      <c r="K5" s="1">
        <f>F5*J5</f>
        <v>370</v>
      </c>
      <c r="L5" s="1">
        <f>H5-K5</f>
        <v>230</v>
      </c>
    </row>
    <row r="6" spans="1:12" x14ac:dyDescent="0.25">
      <c r="A6" s="1">
        <v>2</v>
      </c>
      <c r="B6" s="4">
        <v>46082</v>
      </c>
      <c r="C6" s="1" t="s">
        <v>16</v>
      </c>
      <c r="D6" s="1" t="s">
        <v>17</v>
      </c>
      <c r="E6" s="1" t="s">
        <v>18</v>
      </c>
      <c r="F6" s="1">
        <v>1</v>
      </c>
      <c r="G6" s="1">
        <v>150</v>
      </c>
      <c r="H6" s="1">
        <v>150</v>
      </c>
      <c r="I6" s="1" t="s">
        <v>19</v>
      </c>
      <c r="J6" s="1">
        <v>50</v>
      </c>
      <c r="K6" s="3">
        <f t="shared" ref="K6:K33" si="0">F6*J6</f>
        <v>50</v>
      </c>
      <c r="L6" s="3">
        <f t="shared" ref="L6:L33" si="1">H6-K6</f>
        <v>100</v>
      </c>
    </row>
    <row r="7" spans="1:12" x14ac:dyDescent="0.25">
      <c r="A7" s="1">
        <v>3</v>
      </c>
      <c r="B7" s="4">
        <v>46082</v>
      </c>
      <c r="C7" t="s">
        <v>20</v>
      </c>
      <c r="D7" t="s">
        <v>21</v>
      </c>
      <c r="E7" t="s">
        <v>37</v>
      </c>
      <c r="F7">
        <v>1</v>
      </c>
      <c r="G7">
        <v>90</v>
      </c>
      <c r="H7">
        <v>90</v>
      </c>
      <c r="I7" s="1" t="s">
        <v>19</v>
      </c>
      <c r="J7">
        <v>40</v>
      </c>
      <c r="K7" s="3">
        <f t="shared" si="0"/>
        <v>40</v>
      </c>
      <c r="L7" s="3">
        <f t="shared" si="1"/>
        <v>50</v>
      </c>
    </row>
    <row r="8" spans="1:12" x14ac:dyDescent="0.25">
      <c r="A8" s="1">
        <v>4</v>
      </c>
      <c r="B8" s="4">
        <v>46082</v>
      </c>
      <c r="C8" t="s">
        <v>22</v>
      </c>
      <c r="D8" t="s">
        <v>17</v>
      </c>
      <c r="E8" t="s">
        <v>23</v>
      </c>
      <c r="F8">
        <v>1</v>
      </c>
      <c r="G8">
        <v>170</v>
      </c>
      <c r="H8">
        <v>170</v>
      </c>
      <c r="I8" s="1" t="s">
        <v>19</v>
      </c>
      <c r="J8">
        <v>120</v>
      </c>
      <c r="K8" s="3">
        <f t="shared" si="0"/>
        <v>120</v>
      </c>
      <c r="L8" s="3">
        <f t="shared" si="1"/>
        <v>50</v>
      </c>
    </row>
    <row r="9" spans="1:12" x14ac:dyDescent="0.25">
      <c r="A9" s="1">
        <v>5</v>
      </c>
      <c r="B9" s="4">
        <v>46083</v>
      </c>
      <c r="C9" t="s">
        <v>24</v>
      </c>
      <c r="D9" t="s">
        <v>25</v>
      </c>
      <c r="E9" t="s">
        <v>26</v>
      </c>
      <c r="F9">
        <v>1</v>
      </c>
      <c r="G9">
        <v>500</v>
      </c>
      <c r="H9">
        <v>500</v>
      </c>
      <c r="I9" s="1" t="s">
        <v>19</v>
      </c>
      <c r="J9">
        <v>390</v>
      </c>
      <c r="K9" s="3">
        <f t="shared" si="0"/>
        <v>390</v>
      </c>
      <c r="L9" s="3">
        <f t="shared" si="1"/>
        <v>110</v>
      </c>
    </row>
    <row r="10" spans="1:12" x14ac:dyDescent="0.25">
      <c r="A10" s="1">
        <v>6</v>
      </c>
      <c r="B10" s="4">
        <v>46083</v>
      </c>
      <c r="C10" t="s">
        <v>28</v>
      </c>
      <c r="D10" t="s">
        <v>27</v>
      </c>
      <c r="E10" t="s">
        <v>30</v>
      </c>
      <c r="F10">
        <v>1</v>
      </c>
      <c r="G10">
        <v>60</v>
      </c>
      <c r="H10">
        <v>60</v>
      </c>
      <c r="I10" s="1" t="s">
        <v>19</v>
      </c>
      <c r="J10">
        <v>50</v>
      </c>
      <c r="K10" s="3">
        <f t="shared" si="0"/>
        <v>50</v>
      </c>
      <c r="L10" s="3">
        <f t="shared" si="1"/>
        <v>10</v>
      </c>
    </row>
    <row r="11" spans="1:12" x14ac:dyDescent="0.25">
      <c r="A11" s="1">
        <v>7</v>
      </c>
      <c r="B11" s="4">
        <v>46083</v>
      </c>
      <c r="C11" t="s">
        <v>31</v>
      </c>
      <c r="D11" t="s">
        <v>21</v>
      </c>
      <c r="E11" t="s">
        <v>32</v>
      </c>
      <c r="F11">
        <v>2</v>
      </c>
      <c r="G11">
        <v>300</v>
      </c>
      <c r="H11">
        <v>600</v>
      </c>
      <c r="I11" s="1" t="s">
        <v>19</v>
      </c>
      <c r="J11">
        <v>170</v>
      </c>
      <c r="K11" s="3">
        <f t="shared" si="0"/>
        <v>340</v>
      </c>
      <c r="L11" s="3">
        <f t="shared" si="1"/>
        <v>260</v>
      </c>
    </row>
    <row r="12" spans="1:12" x14ac:dyDescent="0.25">
      <c r="A12" s="1">
        <v>8</v>
      </c>
      <c r="B12" s="4">
        <v>46083</v>
      </c>
      <c r="C12" t="s">
        <v>20</v>
      </c>
      <c r="D12" t="s">
        <v>21</v>
      </c>
      <c r="E12" t="s">
        <v>38</v>
      </c>
      <c r="F12">
        <v>2</v>
      </c>
      <c r="G12">
        <v>85</v>
      </c>
      <c r="H12">
        <v>170</v>
      </c>
      <c r="I12" s="1" t="s">
        <v>19</v>
      </c>
      <c r="J12">
        <v>40</v>
      </c>
      <c r="K12" s="3">
        <f t="shared" si="0"/>
        <v>80</v>
      </c>
      <c r="L12" s="3">
        <f t="shared" si="1"/>
        <v>90</v>
      </c>
    </row>
    <row r="13" spans="1:12" x14ac:dyDescent="0.25">
      <c r="A13" s="1">
        <v>9</v>
      </c>
      <c r="B13" s="4">
        <v>46083</v>
      </c>
      <c r="C13" t="s">
        <v>33</v>
      </c>
      <c r="D13" t="s">
        <v>34</v>
      </c>
      <c r="E13" t="s">
        <v>35</v>
      </c>
      <c r="F13">
        <v>1</v>
      </c>
      <c r="G13">
        <v>100</v>
      </c>
      <c r="H13">
        <v>100</v>
      </c>
      <c r="I13" s="1" t="s">
        <v>15</v>
      </c>
      <c r="J13">
        <v>40</v>
      </c>
      <c r="K13" s="3">
        <f t="shared" si="0"/>
        <v>40</v>
      </c>
      <c r="L13" s="3">
        <f t="shared" si="1"/>
        <v>60</v>
      </c>
    </row>
    <row r="14" spans="1:12" x14ac:dyDescent="0.25">
      <c r="A14" s="1">
        <v>10</v>
      </c>
      <c r="B14" s="4">
        <v>46083</v>
      </c>
      <c r="C14" t="s">
        <v>20</v>
      </c>
      <c r="D14" t="s">
        <v>21</v>
      </c>
      <c r="E14" t="s">
        <v>37</v>
      </c>
      <c r="F14">
        <v>1</v>
      </c>
      <c r="G14">
        <v>70</v>
      </c>
      <c r="H14">
        <v>70</v>
      </c>
      <c r="I14" s="1" t="s">
        <v>15</v>
      </c>
      <c r="J14">
        <v>40</v>
      </c>
      <c r="K14" s="3">
        <f t="shared" si="0"/>
        <v>40</v>
      </c>
      <c r="L14" s="3">
        <f t="shared" si="1"/>
        <v>30</v>
      </c>
    </row>
    <row r="15" spans="1:12" x14ac:dyDescent="0.25">
      <c r="A15" s="1">
        <v>11</v>
      </c>
      <c r="B15" s="4">
        <v>46083</v>
      </c>
      <c r="C15" t="s">
        <v>36</v>
      </c>
      <c r="D15" t="s">
        <v>21</v>
      </c>
      <c r="E15" t="s">
        <v>37</v>
      </c>
      <c r="F15">
        <v>1</v>
      </c>
      <c r="G15">
        <v>120</v>
      </c>
      <c r="H15">
        <v>120</v>
      </c>
      <c r="I15" s="1" t="s">
        <v>15</v>
      </c>
      <c r="J15">
        <v>60</v>
      </c>
      <c r="K15" s="3">
        <f t="shared" si="0"/>
        <v>60</v>
      </c>
      <c r="L15" s="3">
        <f t="shared" si="1"/>
        <v>60</v>
      </c>
    </row>
    <row r="16" spans="1:12" x14ac:dyDescent="0.25">
      <c r="A16" s="1">
        <v>12</v>
      </c>
      <c r="B16" s="4">
        <v>46083</v>
      </c>
      <c r="C16" t="s">
        <v>39</v>
      </c>
      <c r="D16" t="s">
        <v>27</v>
      </c>
      <c r="E16" t="s">
        <v>40</v>
      </c>
      <c r="F16">
        <v>1</v>
      </c>
      <c r="G16">
        <v>600</v>
      </c>
      <c r="H16">
        <v>600</v>
      </c>
      <c r="I16" s="1" t="s">
        <v>15</v>
      </c>
      <c r="J16">
        <v>350</v>
      </c>
      <c r="K16" s="3">
        <f t="shared" si="0"/>
        <v>350</v>
      </c>
      <c r="L16" s="3">
        <f t="shared" si="1"/>
        <v>250</v>
      </c>
    </row>
    <row r="17" spans="1:12" x14ac:dyDescent="0.25">
      <c r="A17" s="1">
        <v>13</v>
      </c>
      <c r="B17" s="4">
        <v>46083</v>
      </c>
      <c r="C17" t="s">
        <v>41</v>
      </c>
      <c r="D17" t="s">
        <v>27</v>
      </c>
      <c r="E17" t="s">
        <v>29</v>
      </c>
      <c r="F17">
        <v>1</v>
      </c>
      <c r="G17">
        <v>150</v>
      </c>
      <c r="H17">
        <v>150</v>
      </c>
      <c r="I17" s="1" t="s">
        <v>15</v>
      </c>
      <c r="J17">
        <v>90</v>
      </c>
      <c r="K17" s="3">
        <f t="shared" si="0"/>
        <v>90</v>
      </c>
      <c r="L17" s="3">
        <f t="shared" si="1"/>
        <v>60</v>
      </c>
    </row>
    <row r="18" spans="1:12" x14ac:dyDescent="0.25">
      <c r="A18" s="1">
        <v>14</v>
      </c>
      <c r="B18" s="4">
        <v>46084</v>
      </c>
      <c r="C18" t="s">
        <v>24</v>
      </c>
      <c r="D18" t="s">
        <v>25</v>
      </c>
      <c r="E18" t="s">
        <v>42</v>
      </c>
      <c r="F18">
        <v>1</v>
      </c>
      <c r="G18">
        <v>650</v>
      </c>
      <c r="H18">
        <v>650</v>
      </c>
      <c r="I18" s="1" t="s">
        <v>19</v>
      </c>
      <c r="J18">
        <v>480</v>
      </c>
      <c r="K18" s="3">
        <f t="shared" si="0"/>
        <v>480</v>
      </c>
      <c r="L18" s="3">
        <f t="shared" si="1"/>
        <v>170</v>
      </c>
    </row>
    <row r="19" spans="1:12" x14ac:dyDescent="0.25">
      <c r="A19" s="1">
        <v>15</v>
      </c>
      <c r="B19" s="4">
        <v>46084</v>
      </c>
      <c r="C19" t="s">
        <v>43</v>
      </c>
      <c r="D19" t="s">
        <v>25</v>
      </c>
      <c r="E19" t="s">
        <v>42</v>
      </c>
      <c r="F19">
        <v>1</v>
      </c>
      <c r="G19">
        <v>650</v>
      </c>
      <c r="H19">
        <v>650</v>
      </c>
      <c r="I19" s="1" t="s">
        <v>19</v>
      </c>
      <c r="J19">
        <v>480</v>
      </c>
      <c r="K19" s="3">
        <f t="shared" si="0"/>
        <v>480</v>
      </c>
      <c r="L19" s="3">
        <f t="shared" si="1"/>
        <v>170</v>
      </c>
    </row>
    <row r="20" spans="1:12" x14ac:dyDescent="0.25">
      <c r="A20" s="1">
        <v>16</v>
      </c>
      <c r="B20" s="4">
        <v>46084</v>
      </c>
      <c r="C20" t="s">
        <v>44</v>
      </c>
      <c r="D20" t="s">
        <v>13</v>
      </c>
      <c r="E20" t="s">
        <v>45</v>
      </c>
      <c r="F20">
        <v>1</v>
      </c>
      <c r="G20">
        <v>600</v>
      </c>
      <c r="H20">
        <v>600</v>
      </c>
      <c r="I20" s="1" t="s">
        <v>19</v>
      </c>
      <c r="J20">
        <v>320</v>
      </c>
      <c r="K20" s="3">
        <f t="shared" si="0"/>
        <v>320</v>
      </c>
      <c r="L20" s="3">
        <f t="shared" si="1"/>
        <v>280</v>
      </c>
    </row>
    <row r="21" spans="1:12" x14ac:dyDescent="0.25">
      <c r="A21" s="1">
        <v>17</v>
      </c>
      <c r="B21" s="4">
        <v>46084</v>
      </c>
      <c r="C21" t="s">
        <v>44</v>
      </c>
      <c r="D21" t="s">
        <v>13</v>
      </c>
      <c r="E21" t="s">
        <v>45</v>
      </c>
      <c r="F21">
        <v>1</v>
      </c>
      <c r="G21">
        <v>450</v>
      </c>
      <c r="H21">
        <v>450</v>
      </c>
      <c r="I21" s="1" t="s">
        <v>15</v>
      </c>
      <c r="J21">
        <v>265</v>
      </c>
      <c r="K21" s="3">
        <f t="shared" si="0"/>
        <v>265</v>
      </c>
      <c r="L21" s="3">
        <f t="shared" si="1"/>
        <v>185</v>
      </c>
    </row>
    <row r="22" spans="1:12" x14ac:dyDescent="0.25">
      <c r="A22" s="1">
        <v>18</v>
      </c>
      <c r="B22" s="4">
        <v>46084</v>
      </c>
      <c r="C22" t="s">
        <v>46</v>
      </c>
      <c r="D22" t="s">
        <v>13</v>
      </c>
      <c r="E22" t="s">
        <v>32</v>
      </c>
      <c r="F22">
        <v>1</v>
      </c>
      <c r="G22">
        <v>300</v>
      </c>
      <c r="H22">
        <v>300</v>
      </c>
      <c r="I22" s="1" t="s">
        <v>19</v>
      </c>
      <c r="J22">
        <v>165</v>
      </c>
      <c r="K22" s="3">
        <f t="shared" si="0"/>
        <v>165</v>
      </c>
      <c r="L22" s="3">
        <f t="shared" si="1"/>
        <v>135</v>
      </c>
    </row>
    <row r="23" spans="1:12" x14ac:dyDescent="0.25">
      <c r="A23" s="1">
        <v>19</v>
      </c>
      <c r="B23" s="4">
        <v>46084</v>
      </c>
      <c r="C23" t="s">
        <v>47</v>
      </c>
      <c r="D23" t="s">
        <v>27</v>
      </c>
      <c r="E23" t="s">
        <v>48</v>
      </c>
      <c r="F23">
        <v>1</v>
      </c>
      <c r="G23">
        <v>180</v>
      </c>
      <c r="H23">
        <v>180</v>
      </c>
      <c r="I23" s="1" t="s">
        <v>19</v>
      </c>
      <c r="J23">
        <v>165</v>
      </c>
      <c r="K23" s="3">
        <f t="shared" si="0"/>
        <v>165</v>
      </c>
      <c r="L23" s="3">
        <f t="shared" si="1"/>
        <v>15</v>
      </c>
    </row>
    <row r="24" spans="1:12" x14ac:dyDescent="0.25">
      <c r="A24" s="1">
        <v>20</v>
      </c>
      <c r="B24" s="4">
        <v>46084</v>
      </c>
      <c r="C24" t="s">
        <v>49</v>
      </c>
      <c r="D24" t="s">
        <v>25</v>
      </c>
      <c r="E24" t="s">
        <v>50</v>
      </c>
      <c r="F24">
        <v>1</v>
      </c>
      <c r="G24">
        <v>550</v>
      </c>
      <c r="H24">
        <v>550</v>
      </c>
      <c r="I24" s="1" t="s">
        <v>15</v>
      </c>
      <c r="J24">
        <v>420</v>
      </c>
      <c r="K24" s="3">
        <f t="shared" si="0"/>
        <v>420</v>
      </c>
      <c r="L24" s="3">
        <f t="shared" si="1"/>
        <v>130</v>
      </c>
    </row>
    <row r="25" spans="1:12" x14ac:dyDescent="0.25">
      <c r="A25" s="1">
        <v>21</v>
      </c>
      <c r="B25" s="4">
        <v>46085</v>
      </c>
      <c r="C25" t="s">
        <v>51</v>
      </c>
      <c r="D25" t="s">
        <v>25</v>
      </c>
      <c r="E25" t="s">
        <v>52</v>
      </c>
      <c r="F25">
        <v>3</v>
      </c>
      <c r="G25">
        <v>80</v>
      </c>
      <c r="H25">
        <v>240</v>
      </c>
      <c r="I25" s="1" t="s">
        <v>15</v>
      </c>
      <c r="J25">
        <v>40</v>
      </c>
      <c r="K25" s="3">
        <f t="shared" si="0"/>
        <v>120</v>
      </c>
      <c r="L25" s="3">
        <f t="shared" si="1"/>
        <v>120</v>
      </c>
    </row>
    <row r="26" spans="1:12" x14ac:dyDescent="0.25">
      <c r="A26" s="1">
        <v>22</v>
      </c>
      <c r="B26" s="4">
        <v>46085</v>
      </c>
      <c r="C26" t="s">
        <v>53</v>
      </c>
      <c r="D26" t="s">
        <v>13</v>
      </c>
      <c r="E26" t="s">
        <v>54</v>
      </c>
      <c r="F26">
        <v>1</v>
      </c>
      <c r="G26">
        <v>600</v>
      </c>
      <c r="H26">
        <v>600</v>
      </c>
      <c r="I26" s="1" t="s">
        <v>19</v>
      </c>
      <c r="J26">
        <v>320</v>
      </c>
      <c r="K26" s="3">
        <f t="shared" si="0"/>
        <v>320</v>
      </c>
      <c r="L26" s="3">
        <f t="shared" si="1"/>
        <v>280</v>
      </c>
    </row>
    <row r="27" spans="1:12" x14ac:dyDescent="0.25">
      <c r="A27" s="1">
        <v>23</v>
      </c>
      <c r="B27" s="4">
        <v>46085</v>
      </c>
      <c r="C27" t="s">
        <v>55</v>
      </c>
      <c r="D27" t="s">
        <v>17</v>
      </c>
      <c r="E27" t="s">
        <v>56</v>
      </c>
      <c r="F27">
        <v>3</v>
      </c>
      <c r="G27">
        <v>333</v>
      </c>
      <c r="H27">
        <v>1000</v>
      </c>
      <c r="I27" s="1" t="s">
        <v>19</v>
      </c>
      <c r="J27">
        <v>210</v>
      </c>
      <c r="K27" s="3">
        <f t="shared" si="0"/>
        <v>630</v>
      </c>
      <c r="L27" s="3">
        <f t="shared" si="1"/>
        <v>370</v>
      </c>
    </row>
    <row r="28" spans="1:12" x14ac:dyDescent="0.25">
      <c r="A28" s="1">
        <v>24</v>
      </c>
      <c r="B28" s="4">
        <v>46085</v>
      </c>
      <c r="C28" t="s">
        <v>58</v>
      </c>
      <c r="D28" t="s">
        <v>25</v>
      </c>
      <c r="E28" t="s">
        <v>57</v>
      </c>
      <c r="F28">
        <v>1</v>
      </c>
      <c r="G28">
        <v>600</v>
      </c>
      <c r="H28">
        <v>600</v>
      </c>
      <c r="I28" s="1" t="s">
        <v>15</v>
      </c>
      <c r="J28">
        <v>420</v>
      </c>
      <c r="K28" s="3">
        <f t="shared" si="0"/>
        <v>420</v>
      </c>
      <c r="L28" s="3">
        <f t="shared" si="1"/>
        <v>180</v>
      </c>
    </row>
    <row r="29" spans="1:12" x14ac:dyDescent="0.25">
      <c r="A29" s="1">
        <v>25</v>
      </c>
      <c r="B29" s="4">
        <v>46085</v>
      </c>
      <c r="C29" t="s">
        <v>16</v>
      </c>
      <c r="D29" t="s">
        <v>17</v>
      </c>
      <c r="E29" t="s">
        <v>18</v>
      </c>
      <c r="F29">
        <v>1</v>
      </c>
      <c r="G29">
        <v>150</v>
      </c>
      <c r="H29">
        <v>150</v>
      </c>
      <c r="I29" s="1" t="s">
        <v>15</v>
      </c>
      <c r="J29">
        <v>50</v>
      </c>
      <c r="K29" s="3">
        <f t="shared" si="0"/>
        <v>50</v>
      </c>
      <c r="L29" s="3">
        <f t="shared" si="1"/>
        <v>100</v>
      </c>
    </row>
    <row r="30" spans="1:12" x14ac:dyDescent="0.25">
      <c r="A30" s="1">
        <v>26</v>
      </c>
      <c r="B30" s="4">
        <v>46085</v>
      </c>
      <c r="C30" t="s">
        <v>59</v>
      </c>
      <c r="D30" t="s">
        <v>25</v>
      </c>
      <c r="E30" t="s">
        <v>60</v>
      </c>
      <c r="F30">
        <v>1</v>
      </c>
      <c r="G30">
        <v>350</v>
      </c>
      <c r="H30">
        <v>350</v>
      </c>
      <c r="I30" s="1" t="s">
        <v>19</v>
      </c>
      <c r="J30">
        <v>240</v>
      </c>
      <c r="K30" s="3">
        <f t="shared" si="0"/>
        <v>240</v>
      </c>
      <c r="L30" s="3">
        <f t="shared" si="1"/>
        <v>110</v>
      </c>
    </row>
    <row r="31" spans="1:12" x14ac:dyDescent="0.25">
      <c r="A31" s="1">
        <v>27</v>
      </c>
      <c r="B31" s="4">
        <v>46085</v>
      </c>
      <c r="C31" t="s">
        <v>61</v>
      </c>
      <c r="D31" t="s">
        <v>25</v>
      </c>
      <c r="E31" t="s">
        <v>62</v>
      </c>
      <c r="F31">
        <v>1</v>
      </c>
      <c r="G31">
        <v>150</v>
      </c>
      <c r="H31">
        <v>150</v>
      </c>
      <c r="I31" s="1" t="s">
        <v>19</v>
      </c>
      <c r="J31">
        <v>132</v>
      </c>
      <c r="K31" s="3">
        <f t="shared" si="0"/>
        <v>132</v>
      </c>
      <c r="L31" s="3">
        <f t="shared" si="1"/>
        <v>18</v>
      </c>
    </row>
    <row r="32" spans="1:12" x14ac:dyDescent="0.25">
      <c r="A32" s="1">
        <v>28</v>
      </c>
      <c r="B32" s="4">
        <v>46085</v>
      </c>
      <c r="C32" t="s">
        <v>63</v>
      </c>
      <c r="D32" t="s">
        <v>25</v>
      </c>
      <c r="E32" t="s">
        <v>42</v>
      </c>
      <c r="F32">
        <v>1</v>
      </c>
      <c r="G32">
        <v>80</v>
      </c>
      <c r="H32">
        <v>80</v>
      </c>
      <c r="I32" s="1" t="s">
        <v>15</v>
      </c>
      <c r="J32">
        <v>40</v>
      </c>
      <c r="K32" s="3">
        <f>F32*J32</f>
        <v>40</v>
      </c>
      <c r="L32" s="3">
        <f t="shared" si="1"/>
        <v>40</v>
      </c>
    </row>
    <row r="33" spans="1:12" x14ac:dyDescent="0.25">
      <c r="A33" s="1">
        <v>29</v>
      </c>
      <c r="B33" s="5">
        <v>46085</v>
      </c>
      <c r="C33" t="s">
        <v>64</v>
      </c>
      <c r="D33" t="s">
        <v>25</v>
      </c>
      <c r="E33" t="s">
        <v>60</v>
      </c>
      <c r="F33">
        <v>1</v>
      </c>
      <c r="G33">
        <v>350</v>
      </c>
      <c r="H33">
        <v>350</v>
      </c>
      <c r="I33" s="1" t="s">
        <v>19</v>
      </c>
      <c r="J33">
        <v>240</v>
      </c>
      <c r="K33" s="3">
        <f t="shared" si="0"/>
        <v>240</v>
      </c>
      <c r="L33" s="3">
        <f t="shared" si="1"/>
        <v>110</v>
      </c>
    </row>
  </sheetData>
  <mergeCells count="1">
    <mergeCell ref="A1:L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2026-03-13T09:49:44Z</dcterms:created>
  <dcterms:modified xsi:type="dcterms:W3CDTF">2026-03-14T10:07:12Z</dcterms:modified>
</cp:coreProperties>
</file>