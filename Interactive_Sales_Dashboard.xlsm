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F2C6CD4A-5D94-43B4-8411-B8580F484FFB}" xr6:coauthVersionLast="36" xr6:coauthVersionMax="36" xr10:uidLastSave="{00000000-0000-0000-0000-000000000000}"/>
  <bookViews>
    <workbookView xWindow="0" yWindow="0" windowWidth="20490" windowHeight="8235" activeTab="3" xr2:uid="{9F5CB005-0EE4-4BC1-A807-6C9BCCD133E5}"/>
  </bookViews>
  <sheets>
    <sheet name="Sheet1" sheetId="4" r:id="rId1"/>
    <sheet name="PIVOTS" sheetId="2" r:id="rId2"/>
    <sheet name="DATA" sheetId="1" r:id="rId3"/>
    <sheet name="DASHBOARD" sheetId="3" r:id="rId4"/>
  </sheets>
  <definedNames>
    <definedName name="_xlcn.WorksheetConnection_Interactive_Dashboard_Pending.xlsmTable11" hidden="1">Table1[]</definedName>
    <definedName name="NativeTimeline_Date">#N/A</definedName>
    <definedName name="Slicer_Category">#N/A</definedName>
    <definedName name="Slicer_Payment">#N/A</definedName>
    <definedName name="Slicer_Region">#N/A</definedName>
  </definedNames>
  <calcPr calcId="191029"/>
  <pivotCaches>
    <pivotCache cacheId="0" r:id="rId5"/>
    <pivotCache cacheId="32" r:id="rId6"/>
  </pivotCaches>
  <extLst>
    <ext xmlns:x14="http://schemas.microsoft.com/office/spreadsheetml/2009/9/main" uri="{876F7934-8845-4945-9796-88D515C7AA90}">
      <x14:pivotCaches>
        <pivotCache cacheId="2" r:id="rId7"/>
      </x14:pivotCaches>
    </ex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Interactive_Dashboard_Pending.xlsm!Table1"/>
        </x15:modelTables>
      </x15:dataModel>
    </ext>
  </extLst>
</workbook>
</file>

<file path=xl/calcChain.xml><?xml version="1.0" encoding="utf-8"?>
<calcChain xmlns="http://schemas.openxmlformats.org/spreadsheetml/2006/main">
  <c r="H4" i="2" l="1"/>
  <c r="I4" i="2"/>
  <c r="L4" i="2" l="1"/>
  <c r="K4" i="2"/>
  <c r="J4" i="2"/>
  <c r="M4" i="2"/>
  <c r="N4" i="2"/>
  <c r="J4" i="1"/>
  <c r="K4" i="1" s="1"/>
  <c r="J3" i="1"/>
  <c r="K3" i="1" s="1"/>
  <c r="J5" i="1"/>
  <c r="K5" i="1" s="1"/>
  <c r="J6" i="1"/>
  <c r="K6" i="1" s="1"/>
  <c r="J7" i="1"/>
  <c r="K7" i="1" s="1"/>
  <c r="J8" i="1"/>
  <c r="K8" i="1" s="1"/>
  <c r="J9" i="1"/>
  <c r="K9" i="1" s="1"/>
  <c r="J10" i="1"/>
  <c r="K10" i="1" s="1"/>
  <c r="J11" i="1"/>
  <c r="K11" i="1" s="1"/>
  <c r="J12" i="1"/>
  <c r="K12" i="1" s="1"/>
  <c r="J13" i="1"/>
  <c r="K13" i="1" s="1"/>
  <c r="J14" i="1"/>
  <c r="K14" i="1" s="1"/>
  <c r="J15" i="1"/>
  <c r="K15" i="1" s="1"/>
  <c r="J16" i="1"/>
  <c r="K16" i="1" s="1"/>
  <c r="J17" i="1"/>
  <c r="K17" i="1" s="1"/>
  <c r="J18" i="1"/>
  <c r="K18" i="1" s="1"/>
  <c r="J19" i="1"/>
  <c r="K19" i="1" s="1"/>
  <c r="J20" i="1"/>
  <c r="K20" i="1" s="1"/>
  <c r="J21" i="1"/>
  <c r="K21" i="1" s="1"/>
  <c r="J22" i="1"/>
  <c r="K22" i="1" s="1"/>
  <c r="J23" i="1"/>
  <c r="K23" i="1" s="1"/>
  <c r="J24" i="1"/>
  <c r="K24" i="1" s="1"/>
  <c r="J25" i="1"/>
  <c r="K25" i="1" s="1"/>
  <c r="J26" i="1"/>
  <c r="K26" i="1" s="1"/>
  <c r="J27" i="1"/>
  <c r="K27" i="1" s="1"/>
  <c r="J28" i="1"/>
  <c r="K28" i="1" s="1"/>
  <c r="J29" i="1"/>
  <c r="K29" i="1" s="1"/>
  <c r="J30" i="1"/>
  <c r="K30" i="1" s="1"/>
  <c r="J31" i="1"/>
  <c r="K31" i="1" s="1"/>
  <c r="J32" i="1"/>
  <c r="K32" i="1" s="1"/>
  <c r="J33" i="1"/>
  <c r="K33" i="1" s="1"/>
  <c r="J34" i="1"/>
  <c r="K34" i="1" s="1"/>
  <c r="J35" i="1"/>
  <c r="K35" i="1" s="1"/>
  <c r="J36" i="1"/>
  <c r="K36" i="1" s="1"/>
  <c r="J37" i="1"/>
  <c r="K37" i="1" s="1"/>
  <c r="J38" i="1"/>
  <c r="K38" i="1" s="1"/>
  <c r="J39" i="1"/>
  <c r="K39" i="1" s="1"/>
  <c r="J40" i="1"/>
  <c r="K40" i="1" s="1"/>
  <c r="J41" i="1"/>
  <c r="K41" i="1" s="1"/>
  <c r="J42" i="1"/>
  <c r="K42" i="1" s="1"/>
  <c r="J43" i="1"/>
  <c r="K43" i="1" s="1"/>
  <c r="J44" i="1"/>
  <c r="K44" i="1" s="1"/>
  <c r="J45" i="1"/>
  <c r="K45" i="1" s="1"/>
  <c r="J46" i="1"/>
  <c r="K46" i="1" s="1"/>
  <c r="J47" i="1"/>
  <c r="K47" i="1" s="1"/>
  <c r="J48" i="1"/>
  <c r="K48" i="1" s="1"/>
  <c r="J49" i="1"/>
  <c r="K49" i="1" s="1"/>
  <c r="J50" i="1"/>
  <c r="K50" i="1" s="1"/>
  <c r="J51" i="1"/>
  <c r="K51" i="1" s="1"/>
  <c r="J52" i="1"/>
  <c r="K52" i="1" s="1"/>
  <c r="J53" i="1"/>
  <c r="K53" i="1" s="1"/>
  <c r="J54" i="1"/>
  <c r="K54" i="1" s="1"/>
  <c r="J55" i="1"/>
  <c r="K55" i="1" s="1"/>
  <c r="J56" i="1"/>
  <c r="K56" i="1" s="1"/>
  <c r="J57" i="1"/>
  <c r="K57" i="1" s="1"/>
  <c r="J58" i="1"/>
  <c r="K58" i="1" s="1"/>
  <c r="J59" i="1"/>
  <c r="K59" i="1" s="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2" i="1"/>
  <c r="K2" i="1" s="1"/>
  <c r="E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93FA02-AFDF-4A88-AC7C-630127F65A87}"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7F7D7E8-6487-4AD4-9C2F-0B6A47F2892D}" name="WorksheetConnection_Interactive_Dashboard_Pending.xlsm!Table1" type="102" refreshedVersion="6" minRefreshableVersion="5">
    <extLst>
      <ext xmlns:x15="http://schemas.microsoft.com/office/spreadsheetml/2010/11/main" uri="{DE250136-89BD-433C-8126-D09CA5730AF9}">
        <x15:connection id="Table1" autoDelete="1">
          <x15:rangePr sourceName="_xlcn.WorksheetConnection_Interactive_Dashboard_Pending.xlsmTable11"/>
        </x15:connection>
      </ext>
    </extLst>
  </connection>
</connections>
</file>

<file path=xl/sharedStrings.xml><?xml version="1.0" encoding="utf-8"?>
<sst xmlns="http://schemas.openxmlformats.org/spreadsheetml/2006/main" count="453" uniqueCount="51">
  <si>
    <t>OrderID</t>
  </si>
  <si>
    <t>Date</t>
  </si>
  <si>
    <t>Region</t>
  </si>
  <si>
    <t>Category</t>
  </si>
  <si>
    <t>SalesPerson</t>
  </si>
  <si>
    <t>Product</t>
  </si>
  <si>
    <t>Units</t>
  </si>
  <si>
    <t>Revenue</t>
  </si>
  <si>
    <t>Cost</t>
  </si>
  <si>
    <t>Profit</t>
  </si>
  <si>
    <t>Profit Margin</t>
  </si>
  <si>
    <t>North</t>
  </si>
  <si>
    <t>Electronics</t>
  </si>
  <si>
    <t>Ali</t>
  </si>
  <si>
    <t>Laptop</t>
  </si>
  <si>
    <t>West</t>
  </si>
  <si>
    <t>Clothing</t>
  </si>
  <si>
    <t>Sara</t>
  </si>
  <si>
    <t>Shirt</t>
  </si>
  <si>
    <t>East</t>
  </si>
  <si>
    <t>John</t>
  </si>
  <si>
    <t>Phone</t>
  </si>
  <si>
    <t>South</t>
  </si>
  <si>
    <t>Riya</t>
  </si>
  <si>
    <t>Shoes</t>
  </si>
  <si>
    <t>Kabir</t>
  </si>
  <si>
    <t>Headphones</t>
  </si>
  <si>
    <t>Zoya</t>
  </si>
  <si>
    <t>Jeans</t>
  </si>
  <si>
    <t>Rahul</t>
  </si>
  <si>
    <t>Tablet</t>
  </si>
  <si>
    <t>Ayesha</t>
  </si>
  <si>
    <t>Jacket</t>
  </si>
  <si>
    <t>Monitor</t>
  </si>
  <si>
    <t>T-shirt</t>
  </si>
  <si>
    <t>Sum of Revenue</t>
  </si>
  <si>
    <t>Sum of Units</t>
  </si>
  <si>
    <t>Sum of Profit</t>
  </si>
  <si>
    <t>Count of OrderID</t>
  </si>
  <si>
    <t>Values for Display</t>
  </si>
  <si>
    <t>Orders</t>
  </si>
  <si>
    <t>Row Labels</t>
  </si>
  <si>
    <t>Grand Total</t>
  </si>
  <si>
    <t>Total Revenue</t>
  </si>
  <si>
    <t>Payment</t>
  </si>
  <si>
    <t>Cash</t>
  </si>
  <si>
    <t>Online</t>
  </si>
  <si>
    <t>UPI</t>
  </si>
  <si>
    <t>PhonePay</t>
  </si>
  <si>
    <t>GooglePay</t>
  </si>
  <si>
    <t>Bank Transfer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</si>
</sst>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164" formatCode="0.0%"/>
    <numFmt numFmtId="165" formatCode="&quot;₹&quot;\ #,##0"/>
    <numFmt numFmtId="167" formatCode="_ [$₹-4009]\ * #,##0.00_ ;_ [$₹-4009]\ * \-#,##0.00_ ;_ [$₹-4009]\ * &quot;-&quot;??_ ;_ @_ "/>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44" fontId="2" fillId="0" borderId="0" applyFont="0" applyFill="0" applyBorder="0" applyAlignment="0" applyProtection="0"/>
  </cellStyleXfs>
  <cellXfs count="13">
    <xf numFmtId="0" fontId="0" fillId="0" borderId="0" xfId="0"/>
    <xf numFmtId="0" fontId="0" fillId="0" borderId="0" xfId="0" applyAlignment="1">
      <alignment horizontal="center"/>
    </xf>
    <xf numFmtId="14" fontId="0" fillId="0" borderId="0" xfId="0" applyNumberFormat="1" applyAlignment="1">
      <alignment horizontal="center"/>
    </xf>
    <xf numFmtId="0" fontId="0" fillId="0" borderId="0" xfId="0" applyNumberFormat="1"/>
    <xf numFmtId="0" fontId="1" fillId="2" borderId="1" xfId="0" applyFont="1" applyFill="1" applyBorder="1"/>
    <xf numFmtId="164" fontId="0" fillId="0" borderId="0" xfId="0" applyNumberFormat="1"/>
    <xf numFmtId="9" fontId="0" fillId="0" borderId="0" xfId="0" applyNumberFormat="1"/>
    <xf numFmtId="0" fontId="0" fillId="0" borderId="0" xfId="0" pivotButton="1"/>
    <xf numFmtId="0" fontId="0" fillId="0" borderId="0" xfId="0" applyAlignment="1">
      <alignment horizontal="left"/>
    </xf>
    <xf numFmtId="165" fontId="0" fillId="0" borderId="0" xfId="0" applyNumberFormat="1"/>
    <xf numFmtId="44" fontId="0" fillId="0" borderId="0" xfId="0" applyNumberFormat="1"/>
    <xf numFmtId="14" fontId="0" fillId="0" borderId="0" xfId="0" applyNumberFormat="1" applyAlignment="1">
      <alignment horizontal="left"/>
    </xf>
    <xf numFmtId="167" fontId="0" fillId="0" borderId="0" xfId="1" applyNumberFormat="1" applyFont="1"/>
  </cellXfs>
  <cellStyles count="2">
    <cellStyle name="Currency" xfId="1" builtinId="4"/>
    <cellStyle name="Normal" xfId="0" builtinId="0"/>
  </cellStyles>
  <dxfs count="228">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numFmt numFmtId="166" formatCode="_ &quot;₹&quot;\ * #,##0_ ;_ &quot;₹&quot;\ * \-#,##0_ ;_ &quot;₹&quot;\ * &quot;-&quot;??_ ;_ @_ "/>
    </dxf>
    <dxf>
      <numFmt numFmtId="165" formatCode="&quot;₹&quot;\ #,##0"/>
    </dxf>
    <dxf>
      <numFmt numFmtId="34" formatCode="_ &quot;₹&quot;\ * #,##0.00_ ;_ &quot;₹&quot;\ * \-#,##0.00_ ;_ &quot;₹&quot;\ * &quot;-&quot;??_ ;_ @_ "/>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quot;₹&quot;\ #,##0"/>
    </dxf>
    <dxf>
      <numFmt numFmtId="166" formatCode="_ &quot;₹&quot;\ * #,##0_ ;_ &quot;₹&quot;\ * \-#,##0_ ;_ &quot;₹&quot;\ * &quot;-&quot;??_ ;_ @_ "/>
    </dxf>
    <dxf>
      <numFmt numFmtId="34" formatCode="_ &quot;₹&quot;\ * #,##0.00_ ;_ &quot;₹&quot;\ * \-#,##0.00_ ;_ &quot;₹&quot;\ * &quot;-&quot;??_ ;_ @_ "/>
    </dxf>
    <dxf>
      <numFmt numFmtId="165" formatCode="&quot;₹&quot;\ #,##0"/>
    </dxf>
    <dxf>
      <numFmt numFmtId="166" formatCode="_ &quot;₹&quot;\ * #,##0_ ;_ &quot;₹&quot;\ * \-#,##0_ ;_ &quot;₹&quot;\ * &quot;-&quot;??_ ;_ @_ "/>
    </dxf>
    <dxf>
      <numFmt numFmtId="34" formatCode="_ &quot;₹&quot;\ * #,##0.00_ ;_ &quot;₹&quot;\ * \-#,##0.00_ ;_ &quot;₹&quot;\ * &quot;-&quot;??_ ;_ @_ "/>
    </dxf>
    <dxf>
      <numFmt numFmtId="165" formatCode="&quot;₹&quot;\ #,##0"/>
    </dxf>
    <dxf>
      <numFmt numFmtId="166" formatCode="_ &quot;₹&quot;\ * #,##0_ ;_ &quot;₹&quot;\ * \-#,##0_ ;_ &quot;₹&quot;\ * &quot;-&quot;??_ ;_ @_ "/>
    </dxf>
    <dxf>
      <numFmt numFmtId="34" formatCode="_ &quot;₹&quot;\ * #,##0.00_ ;_ &quot;₹&quot;\ * \-#,##0.00_ ;_ &quot;₹&quot;\ * &quot;-&quot;??_ ;_ @_ "/>
    </dxf>
    <dxf>
      <numFmt numFmtId="165" formatCode="&quot;₹&quot;\ #,##0"/>
    </dxf>
    <dxf>
      <numFmt numFmtId="166" formatCode="_ &quot;₹&quot;\ * #,##0_ ;_ &quot;₹&quot;\ * \-#,##0_ ;_ &quot;₹&quot;\ * &quot;-&quot;??_ ;_ @_ "/>
    </dxf>
    <dxf>
      <numFmt numFmtId="34" formatCode="_ &quot;₹&quot;\ * #,##0.00_ ;_ &quot;₹&quot;\ * \-#,##0.00_ ;_ &quot;₹&quot;\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11/relationships/timelineCache" Target="timelineCaches/timelineCache1.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[Interactive_Sales_Dashboard.xlsm]PIVOTS!PivotTable2</c:name>
    <c:fmtId val="6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75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PIVOTS!$B$7</c:f>
              <c:strCache>
                <c:ptCount val="1"/>
                <c:pt idx="0">
                  <c:v>Total</c:v>
                </c:pt>
              </c:strCache>
            </c:strRef>
          </c:tx>
          <c:spPr>
            <a:solidFill>
              <a:schemeClr val="accent6">
                <a:lumMod val="75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PIVOTS!$A$8:$A$10</c:f>
              <c:strCache>
                <c:ptCount val="2"/>
                <c:pt idx="0">
                  <c:v>Clothing</c:v>
                </c:pt>
                <c:pt idx="1">
                  <c:v>Electronics</c:v>
                </c:pt>
              </c:strCache>
            </c:strRef>
          </c:cat>
          <c:val>
            <c:numRef>
              <c:f>PIVOTS!$B$8:$B$10</c:f>
              <c:numCache>
                <c:formatCode>"₹"\ #,##0</c:formatCode>
                <c:ptCount val="2"/>
                <c:pt idx="0">
                  <c:v>181600</c:v>
                </c:pt>
                <c:pt idx="1">
                  <c:v>1568000</c:v>
                </c:pt>
              </c:numCache>
            </c:numRef>
          </c:val>
          <c:extLst>
            <c:ext xmlns:c16="http://schemas.microsoft.com/office/drawing/2014/chart" uri="{C3380CC4-5D6E-409C-BE32-E72D297353CC}">
              <c16:uniqueId val="{00000000-EB98-438E-9FE5-5E2321FDCC18}"/>
            </c:ext>
          </c:extLst>
        </c:ser>
        <c:dLbls>
          <c:dLblPos val="outEnd"/>
          <c:showLegendKey val="0"/>
          <c:showVal val="1"/>
          <c:showCatName val="0"/>
          <c:showSerName val="0"/>
          <c:showPercent val="0"/>
          <c:showBubbleSize val="0"/>
        </c:dLbls>
        <c:gapWidth val="219"/>
        <c:overlap val="-27"/>
        <c:axId val="487546968"/>
        <c:axId val="487545328"/>
      </c:barChart>
      <c:catAx>
        <c:axId val="487546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5328"/>
        <c:crosses val="autoZero"/>
        <c:auto val="1"/>
        <c:lblAlgn val="ctr"/>
        <c:lblOffset val="100"/>
        <c:noMultiLvlLbl val="0"/>
      </c:catAx>
      <c:valAx>
        <c:axId val="4875453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6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[Interactive_Sales_Dashboard.xlsm]PIVOTS!PivotTable11</c:name>
    <c:fmtId val="7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3"/>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4"/>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5"/>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6"/>
        <c:spPr>
          <a:ln w="28575" cap="rnd">
            <a:solidFill>
              <a:schemeClr val="accent1"/>
            </a:solidFill>
            <a:round/>
          </a:ln>
          <a:effectLst>
            <a:outerShdw blurRad="50800" dist="38100" dir="2700000" algn="tl" rotWithShape="0">
              <a:prstClr val="black">
                <a:alpha val="40000"/>
              </a:prstClr>
            </a:outerShdw>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a:outerShdw blurRad="50800" dist="38100" dir="2700000" algn="tl" rotWithShape="0">
              <a:prstClr val="black">
                <a:alpha val="40000"/>
              </a:prstClr>
            </a:outerShdw>
          </a:effectLst>
        </c:spPr>
        <c:marker>
          <c:symbol val="circle"/>
          <c:size val="5"/>
        </c:marker>
      </c:pivotFmt>
      <c:pivotFmt>
        <c:idx val="8"/>
        <c:spPr>
          <a:ln w="28575" cap="rnd">
            <a:solidFill>
              <a:schemeClr val="accent1"/>
            </a:solidFill>
            <a:round/>
          </a:ln>
          <a:effectLst>
            <a:outerShdw blurRad="50800" dist="38100" dir="2700000" algn="tl" rotWithShape="0">
              <a:prstClr val="black">
                <a:alpha val="40000"/>
              </a:prstClr>
            </a:outerShdw>
          </a:effectLst>
        </c:spPr>
        <c:marker>
          <c:symbol val="circle"/>
          <c:size val="5"/>
        </c:marker>
      </c:pivotFmt>
      <c:pivotFmt>
        <c:idx val="9"/>
        <c:spPr>
          <a:ln w="28575" cap="rnd">
            <a:solidFill>
              <a:schemeClr val="accent1"/>
            </a:solidFill>
            <a:round/>
          </a:ln>
          <a:effectLst>
            <a:outerShdw blurRad="50800" dist="38100" dir="2700000" algn="tl" rotWithShape="0">
              <a:prstClr val="black">
                <a:alpha val="40000"/>
              </a:prstClr>
            </a:outerShdw>
          </a:effectLst>
        </c:spPr>
        <c:marker>
          <c:symbol val="circle"/>
          <c:size val="5"/>
        </c:marker>
      </c:pivotFmt>
      <c:pivotFmt>
        <c:idx val="10"/>
        <c:spPr>
          <a:ln w="28575" cap="rnd">
            <a:solidFill>
              <a:schemeClr val="accent1"/>
            </a:solidFill>
            <a:round/>
          </a:ln>
          <a:effectLst>
            <a:outerShdw blurRad="50800" dist="38100" dir="2700000" algn="tl" rotWithShape="0">
              <a:prstClr val="black">
                <a:alpha val="40000"/>
              </a:prstClr>
            </a:outerShdw>
          </a:effectLst>
        </c:spPr>
        <c:marker>
          <c:symbol val="circle"/>
          <c:size val="5"/>
        </c:marker>
      </c:pivotFmt>
    </c:pivotFmts>
    <c:plotArea>
      <c:layout/>
      <c:lineChart>
        <c:grouping val="standard"/>
        <c:varyColors val="0"/>
        <c:ser>
          <c:idx val="0"/>
          <c:order val="0"/>
          <c:tx>
            <c:strRef>
              <c:f>PIVOTS!$E$7</c:f>
              <c:strCache>
                <c:ptCount val="1"/>
                <c:pt idx="0">
                  <c:v>Total</c:v>
                </c:pt>
              </c:strCache>
            </c:strRef>
          </c:tx>
          <c:spPr>
            <a:ln w="28575" cap="rnd">
              <a:solidFill>
                <a:schemeClr val="accent1"/>
              </a:solidFill>
              <a:round/>
            </a:ln>
            <a:effectLst>
              <a:outerShdw blurRad="50800" dist="38100" dir="2700000" algn="tl" rotWithShape="0">
                <a:prstClr val="black">
                  <a:alpha val="40000"/>
                </a:prstClr>
              </a:outerShdw>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169-4506-AD00-6518A6A59F1C}"/>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169-4506-AD00-6518A6A59F1C}"/>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169-4506-AD00-6518A6A59F1C}"/>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169-4506-AD00-6518A6A59F1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PIVOTS!$D$8:$D$11</c:f>
              <c:strCache>
                <c:ptCount val="4"/>
                <c:pt idx="0">
                  <c:v>East</c:v>
                </c:pt>
                <c:pt idx="1">
                  <c:v>North</c:v>
                </c:pt>
                <c:pt idx="2">
                  <c:v>South</c:v>
                </c:pt>
                <c:pt idx="3">
                  <c:v>West</c:v>
                </c:pt>
              </c:strCache>
            </c:strRef>
          </c:cat>
          <c:val>
            <c:numRef>
              <c:f>PIVOTS!$E$8:$E$11</c:f>
              <c:numCache>
                <c:formatCode>"₹"\ #,##0</c:formatCode>
                <c:ptCount val="4"/>
                <c:pt idx="0">
                  <c:v>560000</c:v>
                </c:pt>
                <c:pt idx="1">
                  <c:v>1008000</c:v>
                </c:pt>
                <c:pt idx="2">
                  <c:v>80000</c:v>
                </c:pt>
                <c:pt idx="3">
                  <c:v>101600</c:v>
                </c:pt>
              </c:numCache>
            </c:numRef>
          </c:val>
          <c:smooth val="0"/>
          <c:extLst>
            <c:ext xmlns:c16="http://schemas.microsoft.com/office/drawing/2014/chart" uri="{C3380CC4-5D6E-409C-BE32-E72D297353CC}">
              <c16:uniqueId val="{00000008-1169-4506-AD00-6518A6A59F1C}"/>
            </c:ext>
          </c:extLst>
        </c:ser>
        <c:dLbls>
          <c:dLblPos val="t"/>
          <c:showLegendKey val="0"/>
          <c:showVal val="1"/>
          <c:showCatName val="0"/>
          <c:showSerName val="0"/>
          <c:showPercent val="0"/>
          <c:showBubbleSize val="0"/>
        </c:dLbls>
        <c:marker val="1"/>
        <c:smooth val="0"/>
        <c:axId val="487545328"/>
        <c:axId val="487548280"/>
      </c:lineChart>
      <c:catAx>
        <c:axId val="487545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8280"/>
        <c:crosses val="autoZero"/>
        <c:auto val="1"/>
        <c:lblAlgn val="ctr"/>
        <c:lblOffset val="100"/>
        <c:noMultiLvlLbl val="0"/>
      </c:catAx>
      <c:valAx>
        <c:axId val="487548280"/>
        <c:scaling>
          <c:orientation val="minMax"/>
        </c:scaling>
        <c:delete val="0"/>
        <c:axPos val="l"/>
        <c:numFmt formatCode="&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4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[Interactive_Sales_Dashboard.xlsm]PIVOTS!PivotTable13</c:name>
    <c:fmtId val="1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Products</a:t>
            </a:r>
            <a:r>
              <a:rPr lang="en-US" baseline="0"/>
              <a:t>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PIVOTS!$K$7</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PIVOTS!$J$8:$J$13</c:f>
              <c:strCache>
                <c:ptCount val="6"/>
                <c:pt idx="0">
                  <c:v>Laptop</c:v>
                </c:pt>
                <c:pt idx="1">
                  <c:v>Tablet</c:v>
                </c:pt>
                <c:pt idx="2">
                  <c:v>Phone</c:v>
                </c:pt>
                <c:pt idx="3">
                  <c:v>Monitor</c:v>
                </c:pt>
                <c:pt idx="4">
                  <c:v>Jacket</c:v>
                </c:pt>
                <c:pt idx="5">
                  <c:v>Headphones</c:v>
                </c:pt>
              </c:strCache>
            </c:strRef>
          </c:cat>
          <c:val>
            <c:numRef>
              <c:f>PIVOTS!$K$8:$K$13</c:f>
              <c:numCache>
                <c:formatCode>"₹"\ #,##0</c:formatCode>
                <c:ptCount val="6"/>
                <c:pt idx="0">
                  <c:v>800000</c:v>
                </c:pt>
                <c:pt idx="1">
                  <c:v>320000</c:v>
                </c:pt>
                <c:pt idx="2">
                  <c:v>240000</c:v>
                </c:pt>
                <c:pt idx="3">
                  <c:v>160000</c:v>
                </c:pt>
                <c:pt idx="4">
                  <c:v>48000</c:v>
                </c:pt>
                <c:pt idx="5">
                  <c:v>48000</c:v>
                </c:pt>
              </c:numCache>
            </c:numRef>
          </c:val>
          <c:extLst>
            <c:ext xmlns:c16="http://schemas.microsoft.com/office/drawing/2014/chart" uri="{C3380CC4-5D6E-409C-BE32-E72D297353CC}">
              <c16:uniqueId val="{00000000-8DBC-4B16-8D71-95C93ECB220E}"/>
            </c:ext>
          </c:extLst>
        </c:ser>
        <c:dLbls>
          <c:dLblPos val="outEnd"/>
          <c:showLegendKey val="0"/>
          <c:showVal val="1"/>
          <c:showCatName val="0"/>
          <c:showSerName val="0"/>
          <c:showPercent val="0"/>
          <c:showBubbleSize val="0"/>
        </c:dLbls>
        <c:gapWidth val="182"/>
        <c:axId val="577278560"/>
        <c:axId val="577278888"/>
      </c:barChart>
      <c:catAx>
        <c:axId val="5772785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278888"/>
        <c:crosses val="autoZero"/>
        <c:auto val="1"/>
        <c:lblAlgn val="ctr"/>
        <c:lblOffset val="100"/>
        <c:noMultiLvlLbl val="0"/>
      </c:catAx>
      <c:valAx>
        <c:axId val="577278888"/>
        <c:scaling>
          <c:orientation val="minMax"/>
        </c:scaling>
        <c:delete val="1"/>
        <c:axPos val="b"/>
        <c:numFmt formatCode="&quot;₹&quot;\ #,##0" sourceLinked="1"/>
        <c:majorTickMark val="out"/>
        <c:minorTickMark val="none"/>
        <c:tickLblPos val="nextTo"/>
        <c:crossAx val="577278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[Interactive_Sales_Dashboard.xlsm]PIVOTS!PivotTable12</c:name>
    <c:fmtId val="1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Dates</a:t>
            </a:r>
            <a:r>
              <a:rPr lang="en-US" baseline="0"/>
              <a:t>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PIVOTS!$H$7</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PIVOTS!$G$8:$G$38</c:f>
              <c:strCache>
                <c:ptCount val="31"/>
                <c:pt idx="0">
                  <c:v>01-03-2024</c:v>
                </c:pt>
                <c:pt idx="1">
                  <c:v>02-03-2024</c:v>
                </c:pt>
                <c:pt idx="2">
                  <c:v>03-03-2024</c:v>
                </c:pt>
                <c:pt idx="3">
                  <c:v>04-03-2024</c:v>
                </c:pt>
                <c:pt idx="4">
                  <c:v>05-03-2024</c:v>
                </c:pt>
                <c:pt idx="5">
                  <c:v>06-03-2024</c:v>
                </c:pt>
                <c:pt idx="6">
                  <c:v>07-03-2024</c:v>
                </c:pt>
                <c:pt idx="7">
                  <c:v>08-03-2024</c:v>
                </c:pt>
                <c:pt idx="8">
                  <c:v>09-03-2024</c:v>
                </c:pt>
                <c:pt idx="9">
                  <c:v>10-03-2024</c:v>
                </c:pt>
                <c:pt idx="10">
                  <c:v>11-03-2024</c:v>
                </c:pt>
                <c:pt idx="11">
                  <c:v>12-03-2024</c:v>
                </c:pt>
                <c:pt idx="12">
                  <c:v>13-03-2024</c:v>
                </c:pt>
                <c:pt idx="13">
                  <c:v>14-03-2024</c:v>
                </c:pt>
                <c:pt idx="14">
                  <c:v>15-03-2024</c:v>
                </c:pt>
                <c:pt idx="15">
                  <c:v>16-03-2024</c:v>
                </c:pt>
                <c:pt idx="16">
                  <c:v>17-03-2024</c:v>
                </c:pt>
                <c:pt idx="17">
                  <c:v>18-03-2024</c:v>
                </c:pt>
                <c:pt idx="18">
                  <c:v>19-03-2024</c:v>
                </c:pt>
                <c:pt idx="19">
                  <c:v>20-03-2024</c:v>
                </c:pt>
                <c:pt idx="20">
                  <c:v>21-03-2024</c:v>
                </c:pt>
                <c:pt idx="21">
                  <c:v>22-03-2024</c:v>
                </c:pt>
                <c:pt idx="22">
                  <c:v>23-03-2024</c:v>
                </c:pt>
                <c:pt idx="23">
                  <c:v>24-03-2024</c:v>
                </c:pt>
                <c:pt idx="24">
                  <c:v>25-03-2024</c:v>
                </c:pt>
                <c:pt idx="25">
                  <c:v>26-03-2024</c:v>
                </c:pt>
                <c:pt idx="26">
                  <c:v>27-03-2024</c:v>
                </c:pt>
                <c:pt idx="27">
                  <c:v>28-03-2024</c:v>
                </c:pt>
                <c:pt idx="28">
                  <c:v>29-03-2024</c:v>
                </c:pt>
                <c:pt idx="29">
                  <c:v>30-03-2024</c:v>
                </c:pt>
                <c:pt idx="30">
                  <c:v>31-03-2024</c:v>
                </c:pt>
              </c:strCache>
            </c:strRef>
          </c:cat>
          <c:val>
            <c:numRef>
              <c:f>PIVOTS!$H$8:$H$38</c:f>
              <c:numCache>
                <c:formatCode>"₹"\ #,##0</c:formatCode>
                <c:ptCount val="31"/>
                <c:pt idx="0">
                  <c:v>104500</c:v>
                </c:pt>
                <c:pt idx="1">
                  <c:v>34000</c:v>
                </c:pt>
                <c:pt idx="2">
                  <c:v>11000</c:v>
                </c:pt>
                <c:pt idx="3">
                  <c:v>46000</c:v>
                </c:pt>
                <c:pt idx="4">
                  <c:v>20000</c:v>
                </c:pt>
                <c:pt idx="5">
                  <c:v>103200</c:v>
                </c:pt>
                <c:pt idx="6">
                  <c:v>34500</c:v>
                </c:pt>
                <c:pt idx="7">
                  <c:v>10000</c:v>
                </c:pt>
                <c:pt idx="8">
                  <c:v>51000</c:v>
                </c:pt>
                <c:pt idx="9">
                  <c:v>23200</c:v>
                </c:pt>
                <c:pt idx="10">
                  <c:v>104500</c:v>
                </c:pt>
                <c:pt idx="11">
                  <c:v>40000</c:v>
                </c:pt>
                <c:pt idx="12">
                  <c:v>45000</c:v>
                </c:pt>
                <c:pt idx="13">
                  <c:v>6000</c:v>
                </c:pt>
                <c:pt idx="14">
                  <c:v>123200</c:v>
                </c:pt>
                <c:pt idx="15">
                  <c:v>34500</c:v>
                </c:pt>
                <c:pt idx="16">
                  <c:v>10000</c:v>
                </c:pt>
                <c:pt idx="17">
                  <c:v>45000</c:v>
                </c:pt>
                <c:pt idx="18">
                  <c:v>6000</c:v>
                </c:pt>
                <c:pt idx="19">
                  <c:v>23200</c:v>
                </c:pt>
                <c:pt idx="20">
                  <c:v>134500</c:v>
                </c:pt>
                <c:pt idx="21">
                  <c:v>15000</c:v>
                </c:pt>
                <c:pt idx="22">
                  <c:v>69200</c:v>
                </c:pt>
                <c:pt idx="23">
                  <c:v>104500</c:v>
                </c:pt>
                <c:pt idx="24">
                  <c:v>34000</c:v>
                </c:pt>
                <c:pt idx="25">
                  <c:v>51000</c:v>
                </c:pt>
                <c:pt idx="26">
                  <c:v>26000</c:v>
                </c:pt>
                <c:pt idx="27">
                  <c:v>103200</c:v>
                </c:pt>
                <c:pt idx="28">
                  <c:v>49500</c:v>
                </c:pt>
                <c:pt idx="29">
                  <c:v>203700</c:v>
                </c:pt>
                <c:pt idx="30">
                  <c:v>84200</c:v>
                </c:pt>
              </c:numCache>
            </c:numRef>
          </c:val>
          <c:extLst>
            <c:ext xmlns:c16="http://schemas.microsoft.com/office/drawing/2014/chart" uri="{C3380CC4-5D6E-409C-BE32-E72D297353CC}">
              <c16:uniqueId val="{00000003-6A34-475F-9D81-B98A16660F0D}"/>
            </c:ext>
          </c:extLst>
        </c:ser>
        <c:dLbls>
          <c:dLblPos val="outEnd"/>
          <c:showLegendKey val="0"/>
          <c:showVal val="1"/>
          <c:showCatName val="0"/>
          <c:showSerName val="0"/>
          <c:showPercent val="0"/>
          <c:showBubbleSize val="0"/>
        </c:dLbls>
        <c:gapWidth val="182"/>
        <c:axId val="596331800"/>
        <c:axId val="596339672"/>
      </c:barChart>
      <c:catAx>
        <c:axId val="5963318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339672"/>
        <c:crosses val="autoZero"/>
        <c:auto val="1"/>
        <c:lblAlgn val="ctr"/>
        <c:lblOffset val="100"/>
        <c:noMultiLvlLbl val="0"/>
      </c:catAx>
      <c:valAx>
        <c:axId val="596339672"/>
        <c:scaling>
          <c:orientation val="minMax"/>
        </c:scaling>
        <c:delete val="0"/>
        <c:axPos val="b"/>
        <c:numFmt formatCode="&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331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[Interactive_Sales_Dashboard.xlsm]Sheet1!PivotTable15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D72-4690-B8F7-A5ABD1E59B5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D72-4690-B8F7-A5ABD1E59B5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D72-4690-B8F7-A5ABD1E59B5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D72-4690-B8F7-A5ABD1E59B5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4D72-4690-B8F7-A5ABD1E59B5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4D72-4690-B8F7-A5ABD1E59B5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Sheet1!$A$4:$A$9</c:f>
              <c:strCache>
                <c:ptCount val="6"/>
                <c:pt idx="0">
                  <c:v>Bank Transfer</c:v>
                </c:pt>
                <c:pt idx="1">
                  <c:v>Cash</c:v>
                </c:pt>
                <c:pt idx="2">
                  <c:v>GooglePay</c:v>
                </c:pt>
                <c:pt idx="3">
                  <c:v>Online</c:v>
                </c:pt>
                <c:pt idx="4">
                  <c:v>PhonePay</c:v>
                </c:pt>
                <c:pt idx="5">
                  <c:v>UPI</c:v>
                </c:pt>
              </c:strCache>
            </c:strRef>
          </c:cat>
          <c:val>
            <c:numRef>
              <c:f>Sheet1!$B$4:$B$9</c:f>
              <c:numCache>
                <c:formatCode>General</c:formatCode>
                <c:ptCount val="6"/>
                <c:pt idx="0">
                  <c:v>77000</c:v>
                </c:pt>
                <c:pt idx="1">
                  <c:v>545400</c:v>
                </c:pt>
                <c:pt idx="2">
                  <c:v>77000</c:v>
                </c:pt>
                <c:pt idx="3">
                  <c:v>619000</c:v>
                </c:pt>
                <c:pt idx="4">
                  <c:v>138500</c:v>
                </c:pt>
                <c:pt idx="5">
                  <c:v>292700</c:v>
                </c:pt>
              </c:numCache>
            </c:numRef>
          </c:val>
          <c:extLst>
            <c:ext xmlns:c16="http://schemas.microsoft.com/office/drawing/2014/chart" uri="{C3380CC4-5D6E-409C-BE32-E72D297353CC}">
              <c16:uniqueId val="{0000000C-4D72-4690-B8F7-A5ABD1E59B56}"/>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1828799</xdr:colOff>
      <xdr:row>0</xdr:row>
      <xdr:rowOff>0</xdr:rowOff>
    </xdr:from>
    <xdr:to>
      <xdr:col>40</xdr:col>
      <xdr:colOff>450273</xdr:colOff>
      <xdr:row>55</xdr:row>
      <xdr:rowOff>121227</xdr:rowOff>
    </xdr:to>
    <xdr:sp macro="" textlink="">
      <xdr:nvSpPr>
        <xdr:cNvPr id="4" name="Rectangle 3">
          <a:extLst>
            <a:ext uri="{FF2B5EF4-FFF2-40B4-BE49-F238E27FC236}">
              <a16:creationId xmlns:a16="http://schemas.microsoft.com/office/drawing/2014/main" id="{2CD05B29-EB1B-4177-88E9-1CE77F5AAF13}"/>
            </a:ext>
          </a:extLst>
        </xdr:cNvPr>
        <xdr:cNvSpPr/>
      </xdr:nvSpPr>
      <xdr:spPr>
        <a:xfrm>
          <a:off x="2175163" y="0"/>
          <a:ext cx="23230610" cy="10598727"/>
        </a:xfrm>
        <a:prstGeom prst="rect">
          <a:avLst/>
        </a:prstGeom>
        <a:gradFill flip="none" rotWithShape="1">
          <a:gsLst>
            <a:gs pos="0">
              <a:srgbClr val="92D050">
                <a:tint val="66000"/>
                <a:satMod val="160000"/>
              </a:srgbClr>
            </a:gs>
            <a:gs pos="50000">
              <a:srgbClr val="92D050">
                <a:tint val="44500"/>
                <a:satMod val="160000"/>
              </a:srgbClr>
            </a:gs>
            <a:gs pos="100000">
              <a:srgbClr val="92D050">
                <a:tint val="23500"/>
                <a:satMod val="160000"/>
              </a:srgbClr>
            </a:gs>
          </a:gsLst>
          <a:lin ang="0" scaled="1"/>
          <a:tileRect/>
        </a:gradFill>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ln>
                <a:noFill/>
              </a:ln>
              <a:gradFill>
                <a:gsLst>
                  <a:gs pos="0">
                    <a:schemeClr val="bg1"/>
                  </a:gs>
                  <a:gs pos="85000">
                    <a:schemeClr val="bg1">
                      <a:lumMod val="75000"/>
                    </a:schemeClr>
                  </a:gs>
                </a:gsLst>
                <a:lin ang="5400000" scaled="1"/>
              </a:gradFill>
              <a:effectLst>
                <a:outerShdw blurRad="50800" dist="50800" dir="5400000" algn="ctr" rotWithShape="0">
                  <a:schemeClr val="bg1"/>
                </a:outerShdw>
              </a:effectLst>
            </a:rPr>
            <a:t>/    </a:t>
          </a:r>
        </a:p>
      </xdr:txBody>
    </xdr:sp>
    <xdr:clientData/>
  </xdr:twoCellAnchor>
  <xdr:twoCellAnchor>
    <xdr:from>
      <xdr:col>0</xdr:col>
      <xdr:colOff>9525</xdr:colOff>
      <xdr:row>0</xdr:row>
      <xdr:rowOff>0</xdr:rowOff>
    </xdr:from>
    <xdr:to>
      <xdr:col>1</xdr:col>
      <xdr:colOff>1828800</xdr:colOff>
      <xdr:row>49</xdr:row>
      <xdr:rowOff>173182</xdr:rowOff>
    </xdr:to>
    <xdr:sp macro="" textlink="">
      <xdr:nvSpPr>
        <xdr:cNvPr id="3" name="Rectangle 2">
          <a:extLst>
            <a:ext uri="{FF2B5EF4-FFF2-40B4-BE49-F238E27FC236}">
              <a16:creationId xmlns:a16="http://schemas.microsoft.com/office/drawing/2014/main" id="{3EBE8B54-73D0-49DE-BF73-D5FE675A7E4E}"/>
            </a:ext>
          </a:extLst>
        </xdr:cNvPr>
        <xdr:cNvSpPr/>
      </xdr:nvSpPr>
      <xdr:spPr>
        <a:xfrm>
          <a:off x="9525" y="0"/>
          <a:ext cx="2165639" cy="9507682"/>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endParaRPr lang="en-IN" sz="18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endParaRPr>
        </a:p>
      </xdr:txBody>
    </xdr:sp>
    <xdr:clientData/>
  </xdr:twoCellAnchor>
  <xdr:twoCellAnchor>
    <xdr:from>
      <xdr:col>0</xdr:col>
      <xdr:colOff>161925</xdr:colOff>
      <xdr:row>1</xdr:row>
      <xdr:rowOff>66675</xdr:rowOff>
    </xdr:from>
    <xdr:to>
      <xdr:col>1</xdr:col>
      <xdr:colOff>1590675</xdr:colOff>
      <xdr:row>4</xdr:row>
      <xdr:rowOff>114300</xdr:rowOff>
    </xdr:to>
    <xdr:sp macro="" textlink="PIVOTS!H4">
      <xdr:nvSpPr>
        <xdr:cNvPr id="5" name="TextBox 4">
          <a:extLst>
            <a:ext uri="{FF2B5EF4-FFF2-40B4-BE49-F238E27FC236}">
              <a16:creationId xmlns:a16="http://schemas.microsoft.com/office/drawing/2014/main" id="{DDAB502A-29CB-43A8-B49C-006698AC94BA}"/>
            </a:ext>
          </a:extLst>
        </xdr:cNvPr>
        <xdr:cNvSpPr txBox="1"/>
      </xdr:nvSpPr>
      <xdr:spPr>
        <a:xfrm>
          <a:off x="161925" y="257175"/>
          <a:ext cx="1781175" cy="619125"/>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05E1C590-00C0-41F7-9D57-C78F13521C5D}" type="TxLink">
            <a:rPr lang="en-US"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schemeClr val="tx1">
                    <a:alpha val="40000"/>
                  </a:schemeClr>
                </a:outerShdw>
              </a:effectLst>
              <a:latin typeface="Aptos Narrow"/>
              <a:cs typeface="Calibri"/>
            </a:rPr>
            <a:pPr algn="ctr"/>
            <a:t>17,49,600</a:t>
          </a:fld>
          <a:endParaRPr lang="en-IN" sz="2000" b="1">
            <a:ln>
              <a:noFill/>
            </a:ln>
            <a:gradFill>
              <a:gsLst>
                <a:gs pos="0">
                  <a:schemeClr val="bg1"/>
                </a:gs>
                <a:gs pos="100000">
                  <a:schemeClr val="bg1">
                    <a:lumMod val="75000"/>
                  </a:schemeClr>
                </a:gs>
              </a:gsLst>
              <a:lin ang="5400000" scaled="1"/>
            </a:gradFill>
            <a:effectLst>
              <a:outerShdw blurRad="50800" dist="38100" dir="2700000" algn="tl" rotWithShape="0">
                <a:schemeClr val="tx1">
                  <a:alpha val="40000"/>
                </a:schemeClr>
              </a:outerShdw>
            </a:effectLst>
            <a:latin typeface="Aptos Narrow"/>
          </a:endParaRPr>
        </a:p>
      </xdr:txBody>
    </xdr:sp>
    <xdr:clientData/>
  </xdr:twoCellAnchor>
  <xdr:twoCellAnchor>
    <xdr:from>
      <xdr:col>0</xdr:col>
      <xdr:colOff>161925</xdr:colOff>
      <xdr:row>4</xdr:row>
      <xdr:rowOff>142875</xdr:rowOff>
    </xdr:from>
    <xdr:to>
      <xdr:col>1</xdr:col>
      <xdr:colOff>1590675</xdr:colOff>
      <xdr:row>8</xdr:row>
      <xdr:rowOff>0</xdr:rowOff>
    </xdr:to>
    <xdr:sp macro="" textlink="PIVOTS!I4">
      <xdr:nvSpPr>
        <xdr:cNvPr id="6" name="TextBox 5">
          <a:extLst>
            <a:ext uri="{FF2B5EF4-FFF2-40B4-BE49-F238E27FC236}">
              <a16:creationId xmlns:a16="http://schemas.microsoft.com/office/drawing/2014/main" id="{E1CE2795-BBB2-49A8-964A-3F015BCE08A6}"/>
            </a:ext>
          </a:extLst>
        </xdr:cNvPr>
        <xdr:cNvSpPr txBox="1"/>
      </xdr:nvSpPr>
      <xdr:spPr>
        <a:xfrm>
          <a:off x="161925" y="904875"/>
          <a:ext cx="1781175" cy="619125"/>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10FDDCD7-351F-4856-A057-E28D12F590DD}" type="TxLink">
            <a:rPr lang="en-US"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schemeClr val="tx1">
                    <a:alpha val="40000"/>
                  </a:schemeClr>
                </a:outerShdw>
              </a:effectLst>
              <a:latin typeface="Aptos Narrow"/>
              <a:ea typeface="+mn-ea"/>
              <a:cs typeface="Calibri"/>
            </a:rPr>
            <a:pPr marL="0" indent="0" algn="ctr"/>
            <a:t>5,25,600</a:t>
          </a:fld>
          <a:endParaRPr lang="en-IN"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schemeClr val="tx1">
                  <a:alpha val="40000"/>
                </a:schemeClr>
              </a:outerShdw>
            </a:effectLst>
            <a:latin typeface="Aptos Narrow"/>
            <a:ea typeface="+mn-ea"/>
            <a:cs typeface="Calibri"/>
          </a:endParaRPr>
        </a:p>
      </xdr:txBody>
    </xdr:sp>
    <xdr:clientData/>
  </xdr:twoCellAnchor>
  <xdr:twoCellAnchor>
    <xdr:from>
      <xdr:col>0</xdr:col>
      <xdr:colOff>161925</xdr:colOff>
      <xdr:row>8</xdr:row>
      <xdr:rowOff>28575</xdr:rowOff>
    </xdr:from>
    <xdr:to>
      <xdr:col>1</xdr:col>
      <xdr:colOff>1590675</xdr:colOff>
      <xdr:row>11</xdr:row>
      <xdr:rowOff>76200</xdr:rowOff>
    </xdr:to>
    <xdr:sp macro="" textlink="PIVOTS!J4">
      <xdr:nvSpPr>
        <xdr:cNvPr id="7" name="TextBox 6">
          <a:extLst>
            <a:ext uri="{FF2B5EF4-FFF2-40B4-BE49-F238E27FC236}">
              <a16:creationId xmlns:a16="http://schemas.microsoft.com/office/drawing/2014/main" id="{CAA86471-D37D-4F88-84C4-66900344E63F}"/>
            </a:ext>
          </a:extLst>
        </xdr:cNvPr>
        <xdr:cNvSpPr txBox="1"/>
      </xdr:nvSpPr>
      <xdr:spPr>
        <a:xfrm>
          <a:off x="161925" y="1552575"/>
          <a:ext cx="1781175" cy="619125"/>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C559F692-2346-4FF6-BE03-84FEDCA2E87B}" type="TxLink">
            <a:rPr lang="en-US"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rPr>
            <a:pPr marL="0" indent="0" algn="ctr"/>
            <a:t>80</a:t>
          </a:fld>
          <a:endParaRPr lang="en-IN"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endParaRPr>
        </a:p>
      </xdr:txBody>
    </xdr:sp>
    <xdr:clientData/>
  </xdr:twoCellAnchor>
  <xdr:twoCellAnchor>
    <xdr:from>
      <xdr:col>0</xdr:col>
      <xdr:colOff>161925</xdr:colOff>
      <xdr:row>11</xdr:row>
      <xdr:rowOff>114300</xdr:rowOff>
    </xdr:from>
    <xdr:to>
      <xdr:col>1</xdr:col>
      <xdr:colOff>1590675</xdr:colOff>
      <xdr:row>14</xdr:row>
      <xdr:rowOff>161925</xdr:rowOff>
    </xdr:to>
    <xdr:sp macro="" textlink="PIVOTS!K4">
      <xdr:nvSpPr>
        <xdr:cNvPr id="8" name="TextBox 7">
          <a:extLst>
            <a:ext uri="{FF2B5EF4-FFF2-40B4-BE49-F238E27FC236}">
              <a16:creationId xmlns:a16="http://schemas.microsoft.com/office/drawing/2014/main" id="{E3B37846-F8D6-44E6-AA33-684C0DF5E531}"/>
            </a:ext>
          </a:extLst>
        </xdr:cNvPr>
        <xdr:cNvSpPr txBox="1"/>
      </xdr:nvSpPr>
      <xdr:spPr>
        <a:xfrm>
          <a:off x="161925" y="2209800"/>
          <a:ext cx="1781175" cy="619125"/>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EA207D46-F3B7-4E6C-A943-540D188C2218}" type="TxLink">
            <a:rPr lang="en-US"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rPr>
            <a:pPr marL="0" indent="0" algn="ctr"/>
            <a:t>168</a:t>
          </a:fld>
          <a:endParaRPr lang="en-IN"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endParaRPr>
        </a:p>
      </xdr:txBody>
    </xdr:sp>
    <xdr:clientData/>
  </xdr:twoCellAnchor>
  <xdr:twoCellAnchor>
    <xdr:from>
      <xdr:col>0</xdr:col>
      <xdr:colOff>161925</xdr:colOff>
      <xdr:row>15</xdr:row>
      <xdr:rowOff>9525</xdr:rowOff>
    </xdr:from>
    <xdr:to>
      <xdr:col>1</xdr:col>
      <xdr:colOff>1590675</xdr:colOff>
      <xdr:row>18</xdr:row>
      <xdr:rowOff>57150</xdr:rowOff>
    </xdr:to>
    <xdr:sp macro="" textlink="PIVOTS!L4">
      <xdr:nvSpPr>
        <xdr:cNvPr id="9" name="TextBox 8">
          <a:extLst>
            <a:ext uri="{FF2B5EF4-FFF2-40B4-BE49-F238E27FC236}">
              <a16:creationId xmlns:a16="http://schemas.microsoft.com/office/drawing/2014/main" id="{2C100646-C8AF-4A7E-B936-FBA240133898}"/>
            </a:ext>
          </a:extLst>
        </xdr:cNvPr>
        <xdr:cNvSpPr txBox="1"/>
      </xdr:nvSpPr>
      <xdr:spPr>
        <a:xfrm>
          <a:off x="161925" y="2867025"/>
          <a:ext cx="1781175" cy="619125"/>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56B2B5ED-9B6E-4ADB-A3A7-0305E33107FC}" type="TxLink">
            <a:rPr lang="en-US"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rPr>
            <a:pPr marL="0" indent="0" algn="ctr"/>
            <a:t>30.0%</a:t>
          </a:fld>
          <a:endParaRPr lang="en-IN" sz="20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Aptos Narrow"/>
            <a:ea typeface="+mn-ea"/>
            <a:cs typeface="Calibri"/>
          </a:endParaRPr>
        </a:p>
      </xdr:txBody>
    </xdr:sp>
    <xdr:clientData/>
  </xdr:twoCellAnchor>
  <xdr:twoCellAnchor>
    <xdr:from>
      <xdr:col>1</xdr:col>
      <xdr:colOff>95249</xdr:colOff>
      <xdr:row>1</xdr:row>
      <xdr:rowOff>66674</xdr:rowOff>
    </xdr:from>
    <xdr:to>
      <xdr:col>1</xdr:col>
      <xdr:colOff>1304925</xdr:colOff>
      <xdr:row>2</xdr:row>
      <xdr:rowOff>180975</xdr:rowOff>
    </xdr:to>
    <xdr:sp macro="" textlink="">
      <xdr:nvSpPr>
        <xdr:cNvPr id="10" name="TextBox 9">
          <a:extLst>
            <a:ext uri="{FF2B5EF4-FFF2-40B4-BE49-F238E27FC236}">
              <a16:creationId xmlns:a16="http://schemas.microsoft.com/office/drawing/2014/main" id="{748F1483-0FA6-4D8D-B099-709D2C46126A}"/>
            </a:ext>
          </a:extLst>
        </xdr:cNvPr>
        <xdr:cNvSpPr txBox="1"/>
      </xdr:nvSpPr>
      <xdr:spPr>
        <a:xfrm>
          <a:off x="447674" y="257174"/>
          <a:ext cx="1209676" cy="304801"/>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100" b="0" i="0" u="none" strike="noStrike">
              <a:ln>
                <a:noFill/>
              </a:ln>
              <a:gradFill>
                <a:gsLst>
                  <a:gs pos="0">
                    <a:schemeClr val="bg1"/>
                  </a:gs>
                  <a:gs pos="0">
                    <a:schemeClr val="bg1"/>
                  </a:gs>
                </a:gsLst>
                <a:lin ang="5400000" scaled="1"/>
              </a:gradFill>
              <a:effectLst/>
              <a:latin typeface="Aptos Narrow"/>
              <a:ea typeface="+mn-ea"/>
              <a:cs typeface="Calibri"/>
            </a:rPr>
            <a:t>💰 </a:t>
          </a:r>
          <a:r>
            <a:rPr lang="en-US" sz="1100" b="0"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rPr>
            <a:t>Revenue </a:t>
          </a:r>
          <a:endParaRPr lang="en-IN" sz="1100" b="0"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endParaRPr>
        </a:p>
      </xdr:txBody>
    </xdr:sp>
    <xdr:clientData/>
  </xdr:twoCellAnchor>
  <xdr:twoCellAnchor>
    <xdr:from>
      <xdr:col>1</xdr:col>
      <xdr:colOff>95249</xdr:colOff>
      <xdr:row>4</xdr:row>
      <xdr:rowOff>142875</xdr:rowOff>
    </xdr:from>
    <xdr:to>
      <xdr:col>1</xdr:col>
      <xdr:colOff>1304925</xdr:colOff>
      <xdr:row>6</xdr:row>
      <xdr:rowOff>76201</xdr:rowOff>
    </xdr:to>
    <xdr:sp macro="" textlink="">
      <xdr:nvSpPr>
        <xdr:cNvPr id="15" name="TextBox 14">
          <a:extLst>
            <a:ext uri="{FF2B5EF4-FFF2-40B4-BE49-F238E27FC236}">
              <a16:creationId xmlns:a16="http://schemas.microsoft.com/office/drawing/2014/main" id="{243B979C-05DE-43B6-A747-90F6C73ADDD8}"/>
            </a:ext>
          </a:extLst>
        </xdr:cNvPr>
        <xdr:cNvSpPr txBox="1"/>
      </xdr:nvSpPr>
      <xdr:spPr>
        <a:xfrm>
          <a:off x="447674" y="904875"/>
          <a:ext cx="1209676" cy="314326"/>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100" b="0" i="0" u="none" strike="noStrike">
              <a:ln>
                <a:noFill/>
              </a:ln>
              <a:gradFill>
                <a:gsLst>
                  <a:gs pos="0">
                    <a:schemeClr val="bg1"/>
                  </a:gs>
                  <a:gs pos="100000">
                    <a:schemeClr val="bg1"/>
                  </a:gs>
                </a:gsLst>
                <a:lin ang="5400000" scaled="1"/>
              </a:gradFill>
              <a:effectLst/>
              <a:latin typeface="Segoe UI Emoji" panose="020B0502040204020203" pitchFamily="34" charset="0"/>
              <a:ea typeface="Segoe UI Emoji" panose="020B0502040204020203" pitchFamily="34" charset="0"/>
              <a:cs typeface="Calibri"/>
            </a:rPr>
            <a:t>📈 Profit </a:t>
          </a:r>
          <a:endParaRPr lang="en-IN" sz="1100" b="0" i="0" u="none" strike="noStrike">
            <a:ln>
              <a:noFill/>
            </a:ln>
            <a:gradFill>
              <a:gsLst>
                <a:gs pos="0">
                  <a:schemeClr val="bg1"/>
                </a:gs>
                <a:gs pos="100000">
                  <a:schemeClr val="bg1"/>
                </a:gs>
              </a:gsLst>
              <a:lin ang="5400000" scaled="1"/>
            </a:gradFill>
            <a:effectLst/>
            <a:latin typeface="Segoe UI Emoji" panose="020B0502040204020203" pitchFamily="34" charset="0"/>
            <a:ea typeface="Segoe UI Emoji" panose="020B0502040204020203" pitchFamily="34" charset="0"/>
            <a:cs typeface="Calibri"/>
          </a:endParaRPr>
        </a:p>
      </xdr:txBody>
    </xdr:sp>
    <xdr:clientData/>
  </xdr:twoCellAnchor>
  <xdr:twoCellAnchor>
    <xdr:from>
      <xdr:col>1</xdr:col>
      <xdr:colOff>95249</xdr:colOff>
      <xdr:row>15</xdr:row>
      <xdr:rowOff>19050</xdr:rowOff>
    </xdr:from>
    <xdr:to>
      <xdr:col>1</xdr:col>
      <xdr:colOff>1419225</xdr:colOff>
      <xdr:row>16</xdr:row>
      <xdr:rowOff>142876</xdr:rowOff>
    </xdr:to>
    <xdr:sp macro="" textlink="">
      <xdr:nvSpPr>
        <xdr:cNvPr id="16" name="TextBox 15">
          <a:extLst>
            <a:ext uri="{FF2B5EF4-FFF2-40B4-BE49-F238E27FC236}">
              <a16:creationId xmlns:a16="http://schemas.microsoft.com/office/drawing/2014/main" id="{6BB3338F-D34E-4CEE-9F82-353C28E28135}"/>
            </a:ext>
          </a:extLst>
        </xdr:cNvPr>
        <xdr:cNvSpPr txBox="1"/>
      </xdr:nvSpPr>
      <xdr:spPr>
        <a:xfrm>
          <a:off x="447674" y="2876550"/>
          <a:ext cx="1323976" cy="314326"/>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100" b="1" i="0" u="none" strike="noStrike">
              <a:ln>
                <a:noFill/>
              </a:ln>
              <a:gradFill>
                <a:gsLst>
                  <a:gs pos="0">
                    <a:schemeClr val="bg1"/>
                  </a:gs>
                  <a:gs pos="100000">
                    <a:schemeClr val="bg1">
                      <a:lumMod val="75000"/>
                    </a:schemeClr>
                  </a:gs>
                </a:gsLst>
                <a:lin ang="5400000" scaled="1"/>
              </a:gradFill>
              <a:effectLst>
                <a:outerShdw blurRad="50800" dist="38100" dir="2700000" algn="tl" rotWithShape="0">
                  <a:prstClr val="black">
                    <a:alpha val="40000"/>
                  </a:prstClr>
                </a:outerShdw>
              </a:effectLst>
              <a:latin typeface="Segoe UI Emoji" panose="020B0502040204020203" pitchFamily="34" charset="0"/>
              <a:ea typeface="Segoe UI Emoji" panose="020B0502040204020203" pitchFamily="34" charset="0"/>
              <a:cs typeface="Calibri"/>
            </a:rPr>
            <a:t>📊 </a:t>
          </a:r>
          <a:r>
            <a:rPr lang="en-US" sz="1100" b="1" i="0" u="none" strike="noStrike">
              <a:ln>
                <a:noFill/>
              </a:ln>
              <a:gradFill>
                <a:gsLst>
                  <a:gs pos="0">
                    <a:schemeClr val="bg1"/>
                  </a:gs>
                  <a:gs pos="100000">
                    <a:schemeClr val="bg1">
                      <a:lumMod val="75000"/>
                    </a:schemeClr>
                  </a:gs>
                </a:gsLst>
                <a:lin ang="5400000" scaled="1"/>
              </a:gradFill>
              <a:effectLst/>
              <a:latin typeface="Segoe UI Emoji" panose="020B0502040204020203" pitchFamily="34" charset="0"/>
              <a:ea typeface="Segoe UI Emoji" panose="020B0502040204020203" pitchFamily="34" charset="0"/>
              <a:cs typeface="Calibri"/>
            </a:rPr>
            <a:t>P</a:t>
          </a:r>
          <a:r>
            <a:rPr lang="en-US" sz="1100" b="1"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rPr>
            <a:t>rofit</a:t>
          </a:r>
          <a:r>
            <a:rPr lang="en-US" sz="1100" b="1" i="0" u="none" strike="noStrike" baseline="0">
              <a:ln>
                <a:noFill/>
              </a:ln>
              <a:gradFill>
                <a:gsLst>
                  <a:gs pos="0">
                    <a:schemeClr val="bg1"/>
                  </a:gs>
                  <a:gs pos="100000">
                    <a:schemeClr val="bg1">
                      <a:lumMod val="75000"/>
                    </a:schemeClr>
                  </a:gs>
                </a:gsLst>
                <a:lin ang="5400000" scaled="1"/>
              </a:gradFill>
              <a:effectLst/>
              <a:latin typeface="Segoe UI Emoji" panose="020B0502040204020203" pitchFamily="34" charset="0"/>
              <a:ea typeface="Segoe UI Emoji" panose="020B0502040204020203" pitchFamily="34" charset="0"/>
              <a:cs typeface="Calibri"/>
            </a:rPr>
            <a:t> </a:t>
          </a:r>
          <a:r>
            <a:rPr lang="en-US" sz="1100" b="1" i="0" u="none" strike="noStrike" baseline="0">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rPr>
            <a:t>Margin</a:t>
          </a:r>
          <a:endParaRPr lang="en-IN" sz="1100" b="1"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endParaRPr>
        </a:p>
      </xdr:txBody>
    </xdr:sp>
    <xdr:clientData/>
  </xdr:twoCellAnchor>
  <xdr:twoCellAnchor>
    <xdr:from>
      <xdr:col>1</xdr:col>
      <xdr:colOff>95249</xdr:colOff>
      <xdr:row>8</xdr:row>
      <xdr:rowOff>47625</xdr:rowOff>
    </xdr:from>
    <xdr:to>
      <xdr:col>1</xdr:col>
      <xdr:colOff>1304925</xdr:colOff>
      <xdr:row>9</xdr:row>
      <xdr:rowOff>171451</xdr:rowOff>
    </xdr:to>
    <xdr:sp macro="" textlink="">
      <xdr:nvSpPr>
        <xdr:cNvPr id="17" name="TextBox 16">
          <a:extLst>
            <a:ext uri="{FF2B5EF4-FFF2-40B4-BE49-F238E27FC236}">
              <a16:creationId xmlns:a16="http://schemas.microsoft.com/office/drawing/2014/main" id="{B1B18EFA-61FC-47A9-88F3-625FDE9524C4}"/>
            </a:ext>
          </a:extLst>
        </xdr:cNvPr>
        <xdr:cNvSpPr txBox="1"/>
      </xdr:nvSpPr>
      <xdr:spPr>
        <a:xfrm>
          <a:off x="447674" y="1571625"/>
          <a:ext cx="1209676" cy="314326"/>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100" b="0"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rPr>
            <a:t>🚚 Orders </a:t>
          </a:r>
          <a:endParaRPr lang="en-IN" sz="1100" b="0" i="0" u="none" strike="noStrike">
            <a:ln>
              <a:noFill/>
            </a:ln>
            <a:gradFill>
              <a:gsLst>
                <a:gs pos="0">
                  <a:schemeClr val="bg1"/>
                </a:gs>
                <a:gs pos="0">
                  <a:schemeClr val="bg1"/>
                </a:gs>
              </a:gsLst>
              <a:lin ang="5400000" scaled="1"/>
            </a:gradFill>
            <a:effectLst/>
            <a:latin typeface="Segoe UI Emoji" panose="020B0502040204020203" pitchFamily="34" charset="0"/>
            <a:ea typeface="Segoe UI Emoji" panose="020B0502040204020203" pitchFamily="34" charset="0"/>
            <a:cs typeface="Calibri"/>
          </a:endParaRPr>
        </a:p>
      </xdr:txBody>
    </xdr:sp>
    <xdr:clientData/>
  </xdr:twoCellAnchor>
  <xdr:twoCellAnchor>
    <xdr:from>
      <xdr:col>1</xdr:col>
      <xdr:colOff>95249</xdr:colOff>
      <xdr:row>11</xdr:row>
      <xdr:rowOff>123825</xdr:rowOff>
    </xdr:from>
    <xdr:to>
      <xdr:col>1</xdr:col>
      <xdr:colOff>1304925</xdr:colOff>
      <xdr:row>13</xdr:row>
      <xdr:rowOff>57151</xdr:rowOff>
    </xdr:to>
    <xdr:sp macro="" textlink="">
      <xdr:nvSpPr>
        <xdr:cNvPr id="18" name="TextBox 17">
          <a:extLst>
            <a:ext uri="{FF2B5EF4-FFF2-40B4-BE49-F238E27FC236}">
              <a16:creationId xmlns:a16="http://schemas.microsoft.com/office/drawing/2014/main" id="{9028D11F-5289-4577-A574-B5D754438577}"/>
            </a:ext>
          </a:extLst>
        </xdr:cNvPr>
        <xdr:cNvSpPr txBox="1"/>
      </xdr:nvSpPr>
      <xdr:spPr>
        <a:xfrm>
          <a:off x="447674" y="2219325"/>
          <a:ext cx="1209676" cy="314326"/>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100" b="0" i="0" u="none" strike="noStrike">
              <a:ln>
                <a:noFill/>
              </a:ln>
              <a:gradFill>
                <a:gsLst>
                  <a:gs pos="0">
                    <a:schemeClr val="bg1"/>
                  </a:gs>
                  <a:gs pos="100000">
                    <a:schemeClr val="bg1"/>
                  </a:gs>
                </a:gsLst>
                <a:lin ang="5400000" scaled="1"/>
              </a:gradFill>
              <a:effectLst/>
              <a:latin typeface="Segoe UI Emoji" panose="020B0502040204020203" pitchFamily="34" charset="0"/>
              <a:ea typeface="Segoe UI Emoji" panose="020B0502040204020203" pitchFamily="34" charset="0"/>
              <a:cs typeface="Calibri"/>
            </a:rPr>
            <a:t>📦 Units </a:t>
          </a:r>
          <a:endParaRPr lang="en-IN" sz="1100" b="0" i="0" u="none" strike="noStrike">
            <a:ln>
              <a:noFill/>
            </a:ln>
            <a:gradFill>
              <a:gsLst>
                <a:gs pos="0">
                  <a:schemeClr val="bg1"/>
                </a:gs>
                <a:gs pos="100000">
                  <a:schemeClr val="bg1"/>
                </a:gs>
              </a:gsLst>
              <a:lin ang="5400000" scaled="1"/>
            </a:gradFill>
            <a:effectLst/>
            <a:latin typeface="Segoe UI Emoji" panose="020B0502040204020203" pitchFamily="34" charset="0"/>
            <a:ea typeface="Segoe UI Emoji" panose="020B0502040204020203" pitchFamily="34" charset="0"/>
            <a:cs typeface="Calibri"/>
          </a:endParaRPr>
        </a:p>
      </xdr:txBody>
    </xdr:sp>
    <xdr:clientData/>
  </xdr:twoCellAnchor>
  <xdr:twoCellAnchor>
    <xdr:from>
      <xdr:col>2</xdr:col>
      <xdr:colOff>323849</xdr:colOff>
      <xdr:row>10</xdr:row>
      <xdr:rowOff>19050</xdr:rowOff>
    </xdr:from>
    <xdr:to>
      <xdr:col>10</xdr:col>
      <xdr:colOff>384224</xdr:colOff>
      <xdr:row>25</xdr:row>
      <xdr:rowOff>41550</xdr:rowOff>
    </xdr:to>
    <xdr:graphicFrame macro="">
      <xdr:nvGraphicFramePr>
        <xdr:cNvPr id="20" name="Chart 19">
          <a:extLst>
            <a:ext uri="{FF2B5EF4-FFF2-40B4-BE49-F238E27FC236}">
              <a16:creationId xmlns:a16="http://schemas.microsoft.com/office/drawing/2014/main" id="{CC73D771-E1BC-43E9-945C-E453C8799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314324</xdr:colOff>
      <xdr:row>26</xdr:row>
      <xdr:rowOff>47625</xdr:rowOff>
    </xdr:from>
    <xdr:to>
      <xdr:col>10</xdr:col>
      <xdr:colOff>374699</xdr:colOff>
      <xdr:row>41</xdr:row>
      <xdr:rowOff>70125</xdr:rowOff>
    </xdr:to>
    <xdr:graphicFrame macro="">
      <xdr:nvGraphicFramePr>
        <xdr:cNvPr id="22" name="Chart 21">
          <a:extLst>
            <a:ext uri="{FF2B5EF4-FFF2-40B4-BE49-F238E27FC236}">
              <a16:creationId xmlns:a16="http://schemas.microsoft.com/office/drawing/2014/main" id="{450E2197-2621-4263-8C34-C5E5B6D86C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180974</xdr:colOff>
      <xdr:row>26</xdr:row>
      <xdr:rowOff>57150</xdr:rowOff>
    </xdr:from>
    <xdr:to>
      <xdr:col>18</xdr:col>
      <xdr:colOff>593774</xdr:colOff>
      <xdr:row>41</xdr:row>
      <xdr:rowOff>79650</xdr:rowOff>
    </xdr:to>
    <xdr:graphicFrame macro="">
      <xdr:nvGraphicFramePr>
        <xdr:cNvPr id="24" name="Chart 23">
          <a:extLst>
            <a:ext uri="{FF2B5EF4-FFF2-40B4-BE49-F238E27FC236}">
              <a16:creationId xmlns:a16="http://schemas.microsoft.com/office/drawing/2014/main" id="{E0C6F489-3E76-40CA-AF47-2ABE472EC0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495298</xdr:colOff>
      <xdr:row>10</xdr:row>
      <xdr:rowOff>38101</xdr:rowOff>
    </xdr:from>
    <xdr:to>
      <xdr:col>28</xdr:col>
      <xdr:colOff>504825</xdr:colOff>
      <xdr:row>41</xdr:row>
      <xdr:rowOff>66675</xdr:rowOff>
    </xdr:to>
    <xdr:graphicFrame macro="">
      <xdr:nvGraphicFramePr>
        <xdr:cNvPr id="25" name="Chart 24">
          <a:extLst>
            <a:ext uri="{FF2B5EF4-FFF2-40B4-BE49-F238E27FC236}">
              <a16:creationId xmlns:a16="http://schemas.microsoft.com/office/drawing/2014/main" id="{4927E26B-E812-4BA2-9051-AB58018BA6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228599</xdr:colOff>
      <xdr:row>10</xdr:row>
      <xdr:rowOff>38100</xdr:rowOff>
    </xdr:from>
    <xdr:to>
      <xdr:col>19</xdr:col>
      <xdr:colOff>31799</xdr:colOff>
      <xdr:row>25</xdr:row>
      <xdr:rowOff>60600</xdr:rowOff>
    </xdr:to>
    <xdr:graphicFrame macro="">
      <xdr:nvGraphicFramePr>
        <xdr:cNvPr id="26" name="Chart 25">
          <a:extLst>
            <a:ext uri="{FF2B5EF4-FFF2-40B4-BE49-F238E27FC236}">
              <a16:creationId xmlns:a16="http://schemas.microsoft.com/office/drawing/2014/main" id="{39283612-D10A-45FD-BAF5-37559EBA5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409575</xdr:colOff>
      <xdr:row>1</xdr:row>
      <xdr:rowOff>47625</xdr:rowOff>
    </xdr:from>
    <xdr:to>
      <xdr:col>6</xdr:col>
      <xdr:colOff>409575</xdr:colOff>
      <xdr:row>8</xdr:row>
      <xdr:rowOff>95250</xdr:rowOff>
    </xdr:to>
    <mc:AlternateContent xmlns:mc="http://schemas.openxmlformats.org/markup-compatibility/2006">
      <mc:Choice xmlns:a14="http://schemas.microsoft.com/office/drawing/2010/main" Requires="a14">
        <xdr:graphicFrame macro="">
          <xdr:nvGraphicFramePr>
            <xdr:cNvPr id="19" name="Category">
              <a:extLst>
                <a:ext uri="{FF2B5EF4-FFF2-40B4-BE49-F238E27FC236}">
                  <a16:creationId xmlns:a16="http://schemas.microsoft.com/office/drawing/2014/main" id="{73379E3E-4ED3-4F1F-8CF3-1FB0B15E085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954111" y="238125"/>
              <a:ext cx="1836964" cy="1381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276225</xdr:colOff>
      <xdr:row>1</xdr:row>
      <xdr:rowOff>19050</xdr:rowOff>
    </xdr:from>
    <xdr:to>
      <xdr:col>11</xdr:col>
      <xdr:colOff>276225</xdr:colOff>
      <xdr:row>8</xdr:row>
      <xdr:rowOff>95250</xdr:rowOff>
    </xdr:to>
    <mc:AlternateContent xmlns:mc="http://schemas.openxmlformats.org/markup-compatibility/2006">
      <mc:Choice xmlns:a14="http://schemas.microsoft.com/office/drawing/2010/main" Requires="a14">
        <xdr:graphicFrame macro="">
          <xdr:nvGraphicFramePr>
            <xdr:cNvPr id="23" name="Region">
              <a:extLst>
                <a:ext uri="{FF2B5EF4-FFF2-40B4-BE49-F238E27FC236}">
                  <a16:creationId xmlns:a16="http://schemas.microsoft.com/office/drawing/2014/main" id="{039CAD30-9D3C-472E-8149-6F4CCB6457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882368" y="209550"/>
              <a:ext cx="1836964"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57149</xdr:colOff>
      <xdr:row>0</xdr:row>
      <xdr:rowOff>180976</xdr:rowOff>
    </xdr:from>
    <xdr:to>
      <xdr:col>16</xdr:col>
      <xdr:colOff>160591</xdr:colOff>
      <xdr:row>8</xdr:row>
      <xdr:rowOff>95250</xdr:rowOff>
    </xdr:to>
    <mc:AlternateContent xmlns:mc="http://schemas.openxmlformats.org/markup-compatibility/2006">
      <mc:Choice xmlns:a14="http://schemas.microsoft.com/office/drawing/2010/main" Requires="a14">
        <xdr:graphicFrame macro="">
          <xdr:nvGraphicFramePr>
            <xdr:cNvPr id="28" name="Payment">
              <a:extLst>
                <a:ext uri="{FF2B5EF4-FFF2-40B4-BE49-F238E27FC236}">
                  <a16:creationId xmlns:a16="http://schemas.microsoft.com/office/drawing/2014/main" id="{58322BBD-3080-4184-8C15-C8091299A466}"/>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dr:sp macro="" textlink="">
          <xdr:nvSpPr>
            <xdr:cNvPr id="0" name=""/>
            <xdr:cNvSpPr>
              <a:spLocks noTextEdit="1"/>
            </xdr:cNvSpPr>
          </xdr:nvSpPr>
          <xdr:spPr>
            <a:xfrm>
              <a:off x="8724899" y="180976"/>
              <a:ext cx="1940406" cy="14382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333376</xdr:colOff>
      <xdr:row>0</xdr:row>
      <xdr:rowOff>171450</xdr:rowOff>
    </xdr:from>
    <xdr:to>
      <xdr:col>24</xdr:col>
      <xdr:colOff>466725</xdr:colOff>
      <xdr:row>8</xdr:row>
      <xdr:rowOff>28575</xdr:rowOff>
    </xdr:to>
    <mc:AlternateContent xmlns:mc="http://schemas.openxmlformats.org/markup-compatibility/2006">
      <mc:Choice xmlns:tsle="http://schemas.microsoft.com/office/drawing/2012/timeslicer" Requires="tsle">
        <xdr:graphicFrame macro="">
          <xdr:nvGraphicFramePr>
            <xdr:cNvPr id="30" name="Date">
              <a:extLst>
                <a:ext uri="{FF2B5EF4-FFF2-40B4-BE49-F238E27FC236}">
                  <a16:creationId xmlns:a16="http://schemas.microsoft.com/office/drawing/2014/main" id="{E5BB305C-2378-412D-917F-05D27558CD1D}"/>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11450412" y="171450"/>
              <a:ext cx="4419599" cy="13811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21.661439004631" createdVersion="6" refreshedVersion="6" minRefreshableVersion="3" recordCount="80" xr:uid="{7A5A0ACC-AA9A-4CC7-BBB5-97DBE035A4A3}">
  <cacheSource type="worksheet">
    <worksheetSource name="Table1"/>
  </cacheSource>
  <cacheFields count="11">
    <cacheField name="OrderID" numFmtId="0">
      <sharedItems containsSemiMixedTypes="0" containsString="0" containsNumber="1" containsInteger="1" minValue="5001" maxValue="5080"/>
    </cacheField>
    <cacheField name="Date" numFmtId="14">
      <sharedItems containsSemiMixedTypes="0" containsNonDate="0" containsDate="1" containsString="0" minDate="2024-03-01T00:00:00" maxDate="2024-04-01T00:00:00" count="31">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sharedItems>
    </cacheField>
    <cacheField name="Region" numFmtId="0">
      <sharedItems count="4">
        <s v="North"/>
        <s v="West"/>
        <s v="East"/>
        <s v="South"/>
      </sharedItems>
    </cacheField>
    <cacheField name="Category" numFmtId="0">
      <sharedItems count="2">
        <s v="Electronics"/>
        <s v="Clothing"/>
      </sharedItems>
    </cacheField>
    <cacheField name="SalesPerson" numFmtId="0">
      <sharedItems/>
    </cacheField>
    <cacheField name="Product" numFmtId="0">
      <sharedItems count="10">
        <s v="Laptop"/>
        <s v="Shirt"/>
        <s v="Phone"/>
        <s v="Shoes"/>
        <s v="Headphones"/>
        <s v="Jeans"/>
        <s v="Tablet"/>
        <s v="Jacket"/>
        <s v="Monitor"/>
        <s v="T-shirt"/>
      </sharedItems>
    </cacheField>
    <cacheField name="Units" numFmtId="0">
      <sharedItems containsSemiMixedTypes="0" containsString="0" containsNumber="1" containsInteger="1" minValue="1" maxValue="4"/>
    </cacheField>
    <cacheField name="Revenue" numFmtId="0">
      <sharedItems containsSemiMixedTypes="0" containsString="0" containsNumber="1" containsInteger="1" minValue="3200" maxValue="100000"/>
    </cacheField>
    <cacheField name="Cost" numFmtId="0">
      <sharedItems containsSemiMixedTypes="0" containsString="0" containsNumber="1" containsInteger="1" minValue="1500" maxValue="70000"/>
    </cacheField>
    <cacheField name="Profit" numFmtId="0">
      <sharedItems containsSemiMixedTypes="0" containsString="0" containsNumber="1" containsInteger="1" minValue="1500" maxValue="30000"/>
    </cacheField>
    <cacheField name="Profit Margin" numFmtId="0">
      <sharedItems containsSemiMixedTypes="0" containsString="0" containsNumber="1" minValue="0.25" maxValue="0.55555555555555558"/>
    </cacheField>
  </cacheFields>
  <extLst>
    <ext xmlns:x14="http://schemas.microsoft.com/office/spreadsheetml/2009/9/main" uri="{725AE2AE-9491-48be-B2B4-4EB974FC3084}">
      <x14:pivotCacheDefinition pivotCacheId="192273195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21.879555324071" backgroundQuery="1" createdVersion="6" refreshedVersion="6" minRefreshableVersion="3" recordCount="0" supportSubquery="1" supportAdvancedDrill="1" xr:uid="{8C41887C-2D41-432C-9D44-51367A67F815}">
  <cacheSource type="external" connectionId="1"/>
  <cacheFields count="2">
    <cacheField name="[Measures].[Sum of Revenue]" caption="Sum of Revenue" numFmtId="0" hierarchy="14" level="32767"/>
    <cacheField name="[Table1].[Payment].[Payment]" caption="Payment" numFmtId="0" hierarchy="11" level="1">
      <sharedItems count="6">
        <s v="Bank Transfer"/>
        <s v="Cash"/>
        <s v="GooglePay"/>
        <s v="Online"/>
        <s v="PhonePay"/>
        <s v="UPI"/>
      </sharedItems>
    </cacheField>
  </cacheFields>
  <cacheHierarchies count="15">
    <cacheHierarchy uniqueName="[Table1].[OrderID]" caption="OrderID" attribute="1" defaultMemberUniqueName="[Table1].[OrderID].[All]" allUniqueName="[Table1].[OrderID].[All]" dimensionUniqueName="[Table1]" displayFolder="" count="2" memberValueDatatype="20" unbalanced="0"/>
    <cacheHierarchy uniqueName="[Table1].[Date]" caption="Date" attribute="1" time="1" defaultMemberUniqueName="[Table1].[Date].[All]" allUniqueName="[Table1].[Date].[All]" dimensionUniqueName="[Table1]" displayFolder="" count="2" memberValueDatatype="7" unbalanced="0"/>
    <cacheHierarchy uniqueName="[Table1].[Region]" caption="Region" attribute="1" defaultMemberUniqueName="[Table1].[Region].[All]" allUniqueName="[Table1].[Region].[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alesPerson]" caption="SalesPerson" attribute="1" defaultMemberUniqueName="[Table1].[SalesPerson].[All]" allUniqueName="[Table1].[SalesPerson].[All]" dimensionUniqueName="[Table1]" displayFolder="" count="2" memberValueDatatype="130" unbalanced="0"/>
    <cacheHierarchy uniqueName="[Table1].[Product]" caption="Product" attribute="1" defaultMemberUniqueName="[Table1].[Product].[All]" allUniqueName="[Table1].[Product].[All]" dimensionUniqueName="[Table1]" displayFolder="" count="2" memberValueDatatype="130" unbalanced="0"/>
    <cacheHierarchy uniqueName="[Table1].[Units]" caption="Units" attribute="1" defaultMemberUniqueName="[Table1].[Units].[All]" allUniqueName="[Table1].[Units].[All]" dimensionUniqueName="[Table1]" displayFolder="" count="2" memberValueDatatype="20" unbalanced="0"/>
    <cacheHierarchy uniqueName="[Table1].[Revenue]" caption="Revenue" attribute="1" defaultMemberUniqueName="[Table1].[Revenue].[All]" allUniqueName="[Table1].[Revenue].[All]" dimensionUniqueName="[Table1]" displayFolder="" count="2" memberValueDatatype="20" unbalanced="0"/>
    <cacheHierarchy uniqueName="[Table1].[Cost]" caption="Cost" attribute="1" defaultMemberUniqueName="[Table1].[Cost].[All]" allUniqueName="[Table1].[Cost].[All]" dimensionUniqueName="[Table1]" displayFolder="" count="2" memberValueDatatype="20" unbalanced="0"/>
    <cacheHierarchy uniqueName="[Table1].[Profit]" caption="Profit" attribute="1" defaultMemberUniqueName="[Table1].[Profit].[All]" allUniqueName="[Table1].[Profit].[All]" dimensionUniqueName="[Table1]" displayFolder="" count="2" memberValueDatatype="20" unbalanced="0"/>
    <cacheHierarchy uniqueName="[Table1].[Profit Margin]" caption="Profit Margin" attribute="1" defaultMemberUniqueName="[Table1].[Profit Margin].[All]" allUniqueName="[Table1].[Profit Margin].[All]" dimensionUniqueName="[Table1]" displayFolder="" count="2" memberValueDatatype="5" unbalanced="0"/>
    <cacheHierarchy uniqueName="[Table1].[Payment]" caption="Payment" attribute="1" defaultMemberUniqueName="[Table1].[Payment].[All]" allUniqueName="[Table1].[Payment].[All]" dimensionUniqueName="[Table1]" displayFolder="" count="2" memberValueDatatype="130" unbalanced="0">
      <fieldsUsage count="2">
        <fieldUsage x="-1"/>
        <fieldUsage x="1"/>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21.847031828707" backgroundQuery="1" createdVersion="3" refreshedVersion="6" minRefreshableVersion="3" recordCount="0" supportSubquery="1" supportAdvancedDrill="1" xr:uid="{7A3AB923-27F1-41E4-B1D4-294937199A1E}">
  <cacheSource type="external" connectionId="1">
    <extLst>
      <ext xmlns:x14="http://schemas.microsoft.com/office/spreadsheetml/2009/9/main" uri="{F057638F-6D5F-4e77-A914-E7F072B9BCA8}">
        <x14:sourceConnection name="ThisWorkbookDataModel"/>
      </ext>
    </extLst>
  </cacheSource>
  <cacheFields count="0"/>
  <cacheHierarchies count="15">
    <cacheHierarchy uniqueName="[Table1].[OrderID]" caption="OrderID" attribute="1" defaultMemberUniqueName="[Table1].[OrderID].[All]" allUniqueName="[Table1].[Order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Region]" caption="Region" attribute="1" defaultMemberUniqueName="[Table1].[Region].[All]" allUniqueName="[Table1].[Region].[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alesPerson]" caption="SalesPerson" attribute="1" defaultMemberUniqueName="[Table1].[SalesPerson].[All]" allUniqueName="[Table1].[SalesPerson].[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Units]" caption="Units" attribute="1" defaultMemberUniqueName="[Table1].[Units].[All]" allUniqueName="[Table1].[Units].[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Cost]" caption="Cost" attribute="1" defaultMemberUniqueName="[Table1].[Cost].[All]" allUniqueName="[Table1].[Cost].[All]" dimensionUniqueName="[Table1]" displayFolder="" count="0" memberValueDatatype="20" unbalanced="0"/>
    <cacheHierarchy uniqueName="[Table1].[Profit]" caption="Profit" attribute="1" defaultMemberUniqueName="[Table1].[Profit].[All]" allUniqueName="[Table1].[Profit].[All]" dimensionUniqueName="[Table1]" displayFolder="" count="0" memberValueDatatype="20" unbalanced="0"/>
    <cacheHierarchy uniqueName="[Table1].[Profit Margin]" caption="Profit Margin" attribute="1" defaultMemberUniqueName="[Table1].[Profit Margin].[All]" allUniqueName="[Table1].[Profit Margin].[All]" dimensionUniqueName="[Table1]" displayFolder="" count="0" memberValueDatatype="5" unbalanced="0"/>
    <cacheHierarchy uniqueName="[Table1].[Payment]" caption="Payment" attribute="1" defaultMemberUniqueName="[Table1].[Payment].[All]" allUniqueName="[Table1].[Payment].[All]" dimensionUniqueName="[Table1]" displayFolder="" count="2"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Revenue]" caption="Sum of Revenue" measure="1" displayFolder="" measureGroup="Table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47161740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n v="5001"/>
    <x v="0"/>
    <x v="0"/>
    <x v="0"/>
    <s v="Ali"/>
    <x v="0"/>
    <n v="2"/>
    <n v="100000"/>
    <n v="70000"/>
    <n v="30000"/>
    <n v="0.3"/>
  </r>
  <r>
    <n v="5002"/>
    <x v="0"/>
    <x v="1"/>
    <x v="1"/>
    <s v="Sara"/>
    <x v="1"/>
    <n v="3"/>
    <n v="4500"/>
    <n v="2000"/>
    <n v="2500"/>
    <n v="0.55555555555555558"/>
  </r>
  <r>
    <n v="5003"/>
    <x v="1"/>
    <x v="2"/>
    <x v="0"/>
    <s v="John"/>
    <x v="2"/>
    <n v="1"/>
    <n v="30000"/>
    <n v="22000"/>
    <n v="8000"/>
    <n v="0.26666666666666666"/>
  </r>
  <r>
    <n v="5004"/>
    <x v="1"/>
    <x v="3"/>
    <x v="1"/>
    <s v="Riya"/>
    <x v="3"/>
    <n v="2"/>
    <n v="4000"/>
    <n v="2500"/>
    <n v="1500"/>
    <n v="0.375"/>
  </r>
  <r>
    <n v="5005"/>
    <x v="2"/>
    <x v="0"/>
    <x v="0"/>
    <s v="Kabir"/>
    <x v="4"/>
    <n v="3"/>
    <n v="6000"/>
    <n v="3500"/>
    <n v="2500"/>
    <n v="0.41666666666666669"/>
  </r>
  <r>
    <n v="5006"/>
    <x v="2"/>
    <x v="1"/>
    <x v="1"/>
    <s v="Zoya"/>
    <x v="5"/>
    <n v="2"/>
    <n v="5000"/>
    <n v="3000"/>
    <n v="2000"/>
    <n v="0.4"/>
  </r>
  <r>
    <n v="5007"/>
    <x v="3"/>
    <x v="2"/>
    <x v="0"/>
    <s v="Rahul"/>
    <x v="6"/>
    <n v="1"/>
    <n v="40000"/>
    <n v="30000"/>
    <n v="10000"/>
    <n v="0.25"/>
  </r>
  <r>
    <n v="5008"/>
    <x v="3"/>
    <x v="3"/>
    <x v="1"/>
    <s v="Ayesha"/>
    <x v="7"/>
    <n v="2"/>
    <n v="6000"/>
    <n v="3500"/>
    <n v="2500"/>
    <n v="0.41666666666666669"/>
  </r>
  <r>
    <n v="5009"/>
    <x v="4"/>
    <x v="0"/>
    <x v="0"/>
    <s v="Ali"/>
    <x v="8"/>
    <n v="1"/>
    <n v="20000"/>
    <n v="15000"/>
    <n v="5000"/>
    <n v="0.25"/>
  </r>
  <r>
    <n v="5010"/>
    <x v="5"/>
    <x v="1"/>
    <x v="1"/>
    <s v="Sara"/>
    <x v="9"/>
    <n v="4"/>
    <n v="3200"/>
    <n v="1500"/>
    <n v="1700"/>
    <n v="0.53125"/>
  </r>
  <r>
    <n v="5011"/>
    <x v="5"/>
    <x v="0"/>
    <x v="0"/>
    <s v="Ali"/>
    <x v="0"/>
    <n v="2"/>
    <n v="100000"/>
    <n v="70000"/>
    <n v="30000"/>
    <n v="0.3"/>
  </r>
  <r>
    <n v="5012"/>
    <x v="6"/>
    <x v="1"/>
    <x v="1"/>
    <s v="Sara"/>
    <x v="1"/>
    <n v="3"/>
    <n v="4500"/>
    <n v="2000"/>
    <n v="2500"/>
    <n v="0.55555555555555558"/>
  </r>
  <r>
    <n v="5013"/>
    <x v="6"/>
    <x v="2"/>
    <x v="0"/>
    <s v="John"/>
    <x v="2"/>
    <n v="1"/>
    <n v="30000"/>
    <n v="22000"/>
    <n v="8000"/>
    <n v="0.26666666666666666"/>
  </r>
  <r>
    <n v="5014"/>
    <x v="7"/>
    <x v="3"/>
    <x v="1"/>
    <s v="Riya"/>
    <x v="3"/>
    <n v="2"/>
    <n v="4000"/>
    <n v="2500"/>
    <n v="1500"/>
    <n v="0.375"/>
  </r>
  <r>
    <n v="5015"/>
    <x v="7"/>
    <x v="0"/>
    <x v="0"/>
    <s v="Kabir"/>
    <x v="4"/>
    <n v="3"/>
    <n v="6000"/>
    <n v="3500"/>
    <n v="2500"/>
    <n v="0.41666666666666669"/>
  </r>
  <r>
    <n v="5016"/>
    <x v="8"/>
    <x v="1"/>
    <x v="1"/>
    <s v="Zoya"/>
    <x v="5"/>
    <n v="2"/>
    <n v="5000"/>
    <n v="3000"/>
    <n v="2000"/>
    <n v="0.4"/>
  </r>
  <r>
    <n v="5017"/>
    <x v="8"/>
    <x v="2"/>
    <x v="0"/>
    <s v="Rahul"/>
    <x v="6"/>
    <n v="1"/>
    <n v="40000"/>
    <n v="30000"/>
    <n v="10000"/>
    <n v="0.25"/>
  </r>
  <r>
    <n v="5018"/>
    <x v="8"/>
    <x v="3"/>
    <x v="1"/>
    <s v="Ayesha"/>
    <x v="7"/>
    <n v="2"/>
    <n v="6000"/>
    <n v="3500"/>
    <n v="2500"/>
    <n v="0.41666666666666669"/>
  </r>
  <r>
    <n v="5019"/>
    <x v="9"/>
    <x v="0"/>
    <x v="0"/>
    <s v="Ali"/>
    <x v="8"/>
    <n v="1"/>
    <n v="20000"/>
    <n v="15000"/>
    <n v="5000"/>
    <n v="0.25"/>
  </r>
  <r>
    <n v="5020"/>
    <x v="9"/>
    <x v="1"/>
    <x v="1"/>
    <s v="Sara"/>
    <x v="9"/>
    <n v="4"/>
    <n v="3200"/>
    <n v="1500"/>
    <n v="1700"/>
    <n v="0.53125"/>
  </r>
  <r>
    <n v="5021"/>
    <x v="10"/>
    <x v="0"/>
    <x v="0"/>
    <s v="Ali"/>
    <x v="0"/>
    <n v="2"/>
    <n v="100000"/>
    <n v="70000"/>
    <n v="30000"/>
    <n v="0.3"/>
  </r>
  <r>
    <n v="5022"/>
    <x v="10"/>
    <x v="1"/>
    <x v="1"/>
    <s v="Sara"/>
    <x v="1"/>
    <n v="3"/>
    <n v="4500"/>
    <n v="2000"/>
    <n v="2500"/>
    <n v="0.55555555555555558"/>
  </r>
  <r>
    <n v="5023"/>
    <x v="11"/>
    <x v="2"/>
    <x v="0"/>
    <s v="John"/>
    <x v="2"/>
    <n v="1"/>
    <n v="30000"/>
    <n v="22000"/>
    <n v="8000"/>
    <n v="0.26666666666666666"/>
  </r>
  <r>
    <n v="5024"/>
    <x v="11"/>
    <x v="3"/>
    <x v="1"/>
    <s v="Riya"/>
    <x v="3"/>
    <n v="2"/>
    <n v="4000"/>
    <n v="2500"/>
    <n v="1500"/>
    <n v="0.375"/>
  </r>
  <r>
    <n v="5025"/>
    <x v="11"/>
    <x v="0"/>
    <x v="0"/>
    <s v="Kabir"/>
    <x v="4"/>
    <n v="3"/>
    <n v="6000"/>
    <n v="3500"/>
    <n v="2500"/>
    <n v="0.41666666666666669"/>
  </r>
  <r>
    <n v="5026"/>
    <x v="12"/>
    <x v="1"/>
    <x v="1"/>
    <s v="Zoya"/>
    <x v="5"/>
    <n v="2"/>
    <n v="5000"/>
    <n v="3000"/>
    <n v="2000"/>
    <n v="0.4"/>
  </r>
  <r>
    <n v="5027"/>
    <x v="12"/>
    <x v="2"/>
    <x v="0"/>
    <s v="Rahul"/>
    <x v="6"/>
    <n v="1"/>
    <n v="40000"/>
    <n v="30000"/>
    <n v="10000"/>
    <n v="0.25"/>
  </r>
  <r>
    <n v="5028"/>
    <x v="13"/>
    <x v="3"/>
    <x v="1"/>
    <s v="Ayesha"/>
    <x v="7"/>
    <n v="2"/>
    <n v="6000"/>
    <n v="3500"/>
    <n v="2500"/>
    <n v="0.41666666666666669"/>
  </r>
  <r>
    <n v="5029"/>
    <x v="14"/>
    <x v="0"/>
    <x v="0"/>
    <s v="Ali"/>
    <x v="8"/>
    <n v="1"/>
    <n v="20000"/>
    <n v="15000"/>
    <n v="5000"/>
    <n v="0.25"/>
  </r>
  <r>
    <n v="5030"/>
    <x v="14"/>
    <x v="1"/>
    <x v="1"/>
    <s v="Sara"/>
    <x v="9"/>
    <n v="4"/>
    <n v="3200"/>
    <n v="1500"/>
    <n v="1700"/>
    <n v="0.53125"/>
  </r>
  <r>
    <n v="5031"/>
    <x v="14"/>
    <x v="0"/>
    <x v="0"/>
    <s v="Ali"/>
    <x v="0"/>
    <n v="2"/>
    <n v="100000"/>
    <n v="70000"/>
    <n v="30000"/>
    <n v="0.3"/>
  </r>
  <r>
    <n v="5032"/>
    <x v="15"/>
    <x v="1"/>
    <x v="1"/>
    <s v="Sara"/>
    <x v="1"/>
    <n v="3"/>
    <n v="4500"/>
    <n v="2000"/>
    <n v="2500"/>
    <n v="0.55555555555555558"/>
  </r>
  <r>
    <n v="5033"/>
    <x v="15"/>
    <x v="2"/>
    <x v="0"/>
    <s v="John"/>
    <x v="2"/>
    <n v="1"/>
    <n v="30000"/>
    <n v="22000"/>
    <n v="8000"/>
    <n v="0.26666666666666666"/>
  </r>
  <r>
    <n v="5034"/>
    <x v="16"/>
    <x v="3"/>
    <x v="1"/>
    <s v="Riya"/>
    <x v="3"/>
    <n v="2"/>
    <n v="4000"/>
    <n v="2500"/>
    <n v="1500"/>
    <n v="0.375"/>
  </r>
  <r>
    <n v="5035"/>
    <x v="16"/>
    <x v="0"/>
    <x v="0"/>
    <s v="Kabir"/>
    <x v="4"/>
    <n v="3"/>
    <n v="6000"/>
    <n v="3500"/>
    <n v="2500"/>
    <n v="0.41666666666666669"/>
  </r>
  <r>
    <n v="5036"/>
    <x v="17"/>
    <x v="1"/>
    <x v="1"/>
    <s v="Zoya"/>
    <x v="5"/>
    <n v="2"/>
    <n v="5000"/>
    <n v="3000"/>
    <n v="2000"/>
    <n v="0.4"/>
  </r>
  <r>
    <n v="5037"/>
    <x v="17"/>
    <x v="2"/>
    <x v="0"/>
    <s v="Rahul"/>
    <x v="6"/>
    <n v="1"/>
    <n v="40000"/>
    <n v="30000"/>
    <n v="10000"/>
    <n v="0.25"/>
  </r>
  <r>
    <n v="5038"/>
    <x v="18"/>
    <x v="3"/>
    <x v="1"/>
    <s v="Ayesha"/>
    <x v="7"/>
    <n v="2"/>
    <n v="6000"/>
    <n v="3500"/>
    <n v="2500"/>
    <n v="0.41666666666666669"/>
  </r>
  <r>
    <n v="5039"/>
    <x v="19"/>
    <x v="0"/>
    <x v="0"/>
    <s v="Ali"/>
    <x v="8"/>
    <n v="1"/>
    <n v="20000"/>
    <n v="15000"/>
    <n v="5000"/>
    <n v="0.25"/>
  </r>
  <r>
    <n v="5040"/>
    <x v="19"/>
    <x v="1"/>
    <x v="1"/>
    <s v="Sara"/>
    <x v="9"/>
    <n v="4"/>
    <n v="3200"/>
    <n v="1500"/>
    <n v="1700"/>
    <n v="0.53125"/>
  </r>
  <r>
    <n v="5041"/>
    <x v="20"/>
    <x v="0"/>
    <x v="0"/>
    <s v="Ali"/>
    <x v="0"/>
    <n v="2"/>
    <n v="100000"/>
    <n v="70000"/>
    <n v="30000"/>
    <n v="0.3"/>
  </r>
  <r>
    <n v="5042"/>
    <x v="20"/>
    <x v="1"/>
    <x v="1"/>
    <s v="Sara"/>
    <x v="1"/>
    <n v="3"/>
    <n v="4500"/>
    <n v="2000"/>
    <n v="2500"/>
    <n v="0.55555555555555558"/>
  </r>
  <r>
    <n v="5043"/>
    <x v="20"/>
    <x v="2"/>
    <x v="0"/>
    <s v="John"/>
    <x v="2"/>
    <n v="1"/>
    <n v="30000"/>
    <n v="22000"/>
    <n v="8000"/>
    <n v="0.26666666666666666"/>
  </r>
  <r>
    <n v="5044"/>
    <x v="21"/>
    <x v="3"/>
    <x v="1"/>
    <s v="Riya"/>
    <x v="3"/>
    <n v="2"/>
    <n v="4000"/>
    <n v="2500"/>
    <n v="1500"/>
    <n v="0.375"/>
  </r>
  <r>
    <n v="5045"/>
    <x v="21"/>
    <x v="0"/>
    <x v="0"/>
    <s v="Kabir"/>
    <x v="4"/>
    <n v="3"/>
    <n v="6000"/>
    <n v="3500"/>
    <n v="2500"/>
    <n v="0.41666666666666669"/>
  </r>
  <r>
    <n v="5046"/>
    <x v="21"/>
    <x v="1"/>
    <x v="1"/>
    <s v="Zoya"/>
    <x v="5"/>
    <n v="2"/>
    <n v="5000"/>
    <n v="3000"/>
    <n v="2000"/>
    <n v="0.4"/>
  </r>
  <r>
    <n v="5047"/>
    <x v="22"/>
    <x v="2"/>
    <x v="0"/>
    <s v="Rahul"/>
    <x v="6"/>
    <n v="1"/>
    <n v="40000"/>
    <n v="30000"/>
    <n v="10000"/>
    <n v="0.25"/>
  </r>
  <r>
    <n v="5048"/>
    <x v="22"/>
    <x v="3"/>
    <x v="1"/>
    <s v="Ayesha"/>
    <x v="7"/>
    <n v="2"/>
    <n v="6000"/>
    <n v="3500"/>
    <n v="2500"/>
    <n v="0.41666666666666669"/>
  </r>
  <r>
    <n v="5049"/>
    <x v="22"/>
    <x v="0"/>
    <x v="0"/>
    <s v="Ali"/>
    <x v="8"/>
    <n v="1"/>
    <n v="20000"/>
    <n v="15000"/>
    <n v="5000"/>
    <n v="0.25"/>
  </r>
  <r>
    <n v="5050"/>
    <x v="22"/>
    <x v="1"/>
    <x v="1"/>
    <s v="Sara"/>
    <x v="9"/>
    <n v="4"/>
    <n v="3200"/>
    <n v="1500"/>
    <n v="1700"/>
    <n v="0.53125"/>
  </r>
  <r>
    <n v="5051"/>
    <x v="23"/>
    <x v="0"/>
    <x v="0"/>
    <s v="Ali"/>
    <x v="0"/>
    <n v="2"/>
    <n v="100000"/>
    <n v="70000"/>
    <n v="30000"/>
    <n v="0.3"/>
  </r>
  <r>
    <n v="5052"/>
    <x v="23"/>
    <x v="1"/>
    <x v="1"/>
    <s v="Sara"/>
    <x v="1"/>
    <n v="3"/>
    <n v="4500"/>
    <n v="2000"/>
    <n v="2500"/>
    <n v="0.55555555555555558"/>
  </r>
  <r>
    <n v="5053"/>
    <x v="24"/>
    <x v="2"/>
    <x v="0"/>
    <s v="John"/>
    <x v="2"/>
    <n v="1"/>
    <n v="30000"/>
    <n v="22000"/>
    <n v="8000"/>
    <n v="0.26666666666666666"/>
  </r>
  <r>
    <n v="5054"/>
    <x v="24"/>
    <x v="3"/>
    <x v="1"/>
    <s v="Riya"/>
    <x v="3"/>
    <n v="2"/>
    <n v="4000"/>
    <n v="2500"/>
    <n v="1500"/>
    <n v="0.375"/>
  </r>
  <r>
    <n v="5055"/>
    <x v="25"/>
    <x v="0"/>
    <x v="0"/>
    <s v="Kabir"/>
    <x v="4"/>
    <n v="3"/>
    <n v="6000"/>
    <n v="3500"/>
    <n v="2500"/>
    <n v="0.41666666666666669"/>
  </r>
  <r>
    <n v="5056"/>
    <x v="25"/>
    <x v="1"/>
    <x v="1"/>
    <s v="Zoya"/>
    <x v="5"/>
    <n v="2"/>
    <n v="5000"/>
    <n v="3000"/>
    <n v="2000"/>
    <n v="0.4"/>
  </r>
  <r>
    <n v="5057"/>
    <x v="25"/>
    <x v="2"/>
    <x v="0"/>
    <s v="Rahul"/>
    <x v="6"/>
    <n v="1"/>
    <n v="40000"/>
    <n v="30000"/>
    <n v="10000"/>
    <n v="0.25"/>
  </r>
  <r>
    <n v="5058"/>
    <x v="26"/>
    <x v="3"/>
    <x v="1"/>
    <s v="Ayesha"/>
    <x v="7"/>
    <n v="2"/>
    <n v="6000"/>
    <n v="3500"/>
    <n v="2500"/>
    <n v="0.41666666666666669"/>
  </r>
  <r>
    <n v="5059"/>
    <x v="26"/>
    <x v="0"/>
    <x v="0"/>
    <s v="Ali"/>
    <x v="8"/>
    <n v="1"/>
    <n v="20000"/>
    <n v="15000"/>
    <n v="5000"/>
    <n v="0.25"/>
  </r>
  <r>
    <n v="5060"/>
    <x v="27"/>
    <x v="1"/>
    <x v="1"/>
    <s v="Sara"/>
    <x v="9"/>
    <n v="4"/>
    <n v="3200"/>
    <n v="1500"/>
    <n v="1700"/>
    <n v="0.53125"/>
  </r>
  <r>
    <n v="5061"/>
    <x v="27"/>
    <x v="0"/>
    <x v="0"/>
    <s v="Ali"/>
    <x v="0"/>
    <n v="2"/>
    <n v="100000"/>
    <n v="70000"/>
    <n v="30000"/>
    <n v="0.3"/>
  </r>
  <r>
    <n v="5062"/>
    <x v="28"/>
    <x v="1"/>
    <x v="1"/>
    <s v="Sara"/>
    <x v="1"/>
    <n v="3"/>
    <n v="4500"/>
    <n v="2000"/>
    <n v="2500"/>
    <n v="0.55555555555555558"/>
  </r>
  <r>
    <n v="5063"/>
    <x v="28"/>
    <x v="2"/>
    <x v="0"/>
    <s v="John"/>
    <x v="2"/>
    <n v="1"/>
    <n v="30000"/>
    <n v="22000"/>
    <n v="8000"/>
    <n v="0.26666666666666666"/>
  </r>
  <r>
    <n v="5064"/>
    <x v="28"/>
    <x v="3"/>
    <x v="1"/>
    <s v="Riya"/>
    <x v="3"/>
    <n v="2"/>
    <n v="4000"/>
    <n v="2500"/>
    <n v="1500"/>
    <n v="0.375"/>
  </r>
  <r>
    <n v="5065"/>
    <x v="28"/>
    <x v="0"/>
    <x v="0"/>
    <s v="Kabir"/>
    <x v="4"/>
    <n v="3"/>
    <n v="6000"/>
    <n v="3500"/>
    <n v="2500"/>
    <n v="0.41666666666666669"/>
  </r>
  <r>
    <n v="5066"/>
    <x v="28"/>
    <x v="1"/>
    <x v="1"/>
    <s v="Zoya"/>
    <x v="5"/>
    <n v="2"/>
    <n v="5000"/>
    <n v="3000"/>
    <n v="2000"/>
    <n v="0.4"/>
  </r>
  <r>
    <n v="5067"/>
    <x v="29"/>
    <x v="2"/>
    <x v="0"/>
    <s v="Rahul"/>
    <x v="6"/>
    <n v="1"/>
    <n v="40000"/>
    <n v="30000"/>
    <n v="10000"/>
    <n v="0.25"/>
  </r>
  <r>
    <n v="5068"/>
    <x v="29"/>
    <x v="3"/>
    <x v="1"/>
    <s v="Ayesha"/>
    <x v="7"/>
    <n v="2"/>
    <n v="6000"/>
    <n v="3500"/>
    <n v="2500"/>
    <n v="0.41666666666666669"/>
  </r>
  <r>
    <n v="5069"/>
    <x v="29"/>
    <x v="0"/>
    <x v="0"/>
    <s v="Ali"/>
    <x v="8"/>
    <n v="1"/>
    <n v="20000"/>
    <n v="15000"/>
    <n v="5000"/>
    <n v="0.25"/>
  </r>
  <r>
    <n v="5070"/>
    <x v="29"/>
    <x v="1"/>
    <x v="1"/>
    <s v="Sara"/>
    <x v="9"/>
    <n v="4"/>
    <n v="3200"/>
    <n v="1500"/>
    <n v="1700"/>
    <n v="0.53125"/>
  </r>
  <r>
    <n v="5071"/>
    <x v="29"/>
    <x v="0"/>
    <x v="0"/>
    <s v="Ali"/>
    <x v="0"/>
    <n v="2"/>
    <n v="100000"/>
    <n v="70000"/>
    <n v="30000"/>
    <n v="0.3"/>
  </r>
  <r>
    <n v="5072"/>
    <x v="29"/>
    <x v="1"/>
    <x v="1"/>
    <s v="Sara"/>
    <x v="1"/>
    <n v="3"/>
    <n v="4500"/>
    <n v="2000"/>
    <n v="2500"/>
    <n v="0.55555555555555558"/>
  </r>
  <r>
    <n v="5073"/>
    <x v="29"/>
    <x v="2"/>
    <x v="0"/>
    <s v="John"/>
    <x v="2"/>
    <n v="1"/>
    <n v="30000"/>
    <n v="22000"/>
    <n v="8000"/>
    <n v="0.26666666666666666"/>
  </r>
  <r>
    <n v="5074"/>
    <x v="30"/>
    <x v="3"/>
    <x v="1"/>
    <s v="Riya"/>
    <x v="3"/>
    <n v="2"/>
    <n v="4000"/>
    <n v="2500"/>
    <n v="1500"/>
    <n v="0.375"/>
  </r>
  <r>
    <n v="5075"/>
    <x v="30"/>
    <x v="0"/>
    <x v="0"/>
    <s v="Kabir"/>
    <x v="4"/>
    <n v="3"/>
    <n v="6000"/>
    <n v="3500"/>
    <n v="2500"/>
    <n v="0.41666666666666669"/>
  </r>
  <r>
    <n v="5076"/>
    <x v="30"/>
    <x v="1"/>
    <x v="1"/>
    <s v="Zoya"/>
    <x v="5"/>
    <n v="2"/>
    <n v="5000"/>
    <n v="3000"/>
    <n v="2000"/>
    <n v="0.4"/>
  </r>
  <r>
    <n v="5077"/>
    <x v="30"/>
    <x v="2"/>
    <x v="0"/>
    <s v="Rahul"/>
    <x v="6"/>
    <n v="1"/>
    <n v="40000"/>
    <n v="30000"/>
    <n v="10000"/>
    <n v="0.25"/>
  </r>
  <r>
    <n v="5078"/>
    <x v="30"/>
    <x v="3"/>
    <x v="1"/>
    <s v="Ayesha"/>
    <x v="7"/>
    <n v="2"/>
    <n v="6000"/>
    <n v="3500"/>
    <n v="2500"/>
    <n v="0.41666666666666669"/>
  </r>
  <r>
    <n v="5079"/>
    <x v="30"/>
    <x v="0"/>
    <x v="0"/>
    <s v="Ali"/>
    <x v="8"/>
    <n v="1"/>
    <n v="20000"/>
    <n v="15000"/>
    <n v="5000"/>
    <n v="0.25"/>
  </r>
  <r>
    <n v="5080"/>
    <x v="30"/>
    <x v="1"/>
    <x v="1"/>
    <s v="Sara"/>
    <x v="9"/>
    <n v="4"/>
    <n v="3200"/>
    <n v="1500"/>
    <n v="1700"/>
    <n v="0.53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2646D5-077E-4464-B76C-A2B396309427}" name="PivotTable15" cacheId="3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8">
  <location ref="A3:B9"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6">
    <i>
      <x/>
    </i>
    <i>
      <x v="1"/>
    </i>
    <i>
      <x v="2"/>
    </i>
    <i>
      <x v="3"/>
    </i>
    <i>
      <x v="4"/>
    </i>
    <i>
      <x v="5"/>
    </i>
  </rowItems>
  <colItems count="1">
    <i/>
  </colItems>
  <dataFields count="1">
    <dataField name="Sum of Revenue" fld="0" baseField="0" baseItem="0"/>
  </dataFields>
  <chartFormats count="22">
    <chartFormat chart="2"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5" format="4">
      <pivotArea type="data" outline="0" fieldPosition="0">
        <references count="2">
          <reference field="4294967294" count="1" selected="0">
            <x v="0"/>
          </reference>
          <reference field="1" count="1" selected="0">
            <x v="2"/>
          </reference>
        </references>
      </pivotArea>
    </chartFormat>
    <chartFormat chart="5" format="5">
      <pivotArea type="data" outline="0" fieldPosition="0">
        <references count="2">
          <reference field="4294967294" count="1" selected="0">
            <x v="0"/>
          </reference>
          <reference field="1" count="1" selected="0">
            <x v="3"/>
          </reference>
        </references>
      </pivotArea>
    </chartFormat>
    <chartFormat chart="5" format="6">
      <pivotArea type="data" outline="0" fieldPosition="0">
        <references count="2">
          <reference field="4294967294" count="1" selected="0">
            <x v="0"/>
          </reference>
          <reference field="1" count="1" selected="0">
            <x v="4"/>
          </reference>
        </references>
      </pivotArea>
    </chartFormat>
    <chartFormat chart="5" format="7">
      <pivotArea type="data" outline="0" fieldPosition="0">
        <references count="2">
          <reference field="4294967294" count="1" selected="0">
            <x v="0"/>
          </reference>
          <reference field="1" count="1" selected="0">
            <x v="5"/>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1" count="1" selected="0">
            <x v="0"/>
          </reference>
        </references>
      </pivotArea>
    </chartFormat>
    <chartFormat chart="6" format="10">
      <pivotArea type="data" outline="0" fieldPosition="0">
        <references count="2">
          <reference field="4294967294" count="1" selected="0">
            <x v="0"/>
          </reference>
          <reference field="1" count="1" selected="0">
            <x v="1"/>
          </reference>
        </references>
      </pivotArea>
    </chartFormat>
    <chartFormat chart="6" format="11">
      <pivotArea type="data" outline="0" fieldPosition="0">
        <references count="2">
          <reference field="4294967294" count="1" selected="0">
            <x v="0"/>
          </reference>
          <reference field="1" count="1" selected="0">
            <x v="2"/>
          </reference>
        </references>
      </pivotArea>
    </chartFormat>
    <chartFormat chart="6" format="12">
      <pivotArea type="data" outline="0" fieldPosition="0">
        <references count="2">
          <reference field="4294967294" count="1" selected="0">
            <x v="0"/>
          </reference>
          <reference field="1" count="1" selected="0">
            <x v="3"/>
          </reference>
        </references>
      </pivotArea>
    </chartFormat>
    <chartFormat chart="6" format="13">
      <pivotArea type="data" outline="0" fieldPosition="0">
        <references count="2">
          <reference field="4294967294" count="1" selected="0">
            <x v="0"/>
          </reference>
          <reference field="1" count="1" selected="0">
            <x v="4"/>
          </reference>
        </references>
      </pivotArea>
    </chartFormat>
    <chartFormat chart="6" format="14">
      <pivotArea type="data" outline="0" fieldPosition="0">
        <references count="2">
          <reference field="4294967294" count="1" selected="0">
            <x v="0"/>
          </reference>
          <reference field="1" count="1" selected="0">
            <x v="5"/>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1" count="1" selected="0">
            <x v="0"/>
          </reference>
        </references>
      </pivotArea>
    </chartFormat>
    <chartFormat chart="7" format="10">
      <pivotArea type="data" outline="0" fieldPosition="0">
        <references count="2">
          <reference field="4294967294" count="1" selected="0">
            <x v="0"/>
          </reference>
          <reference field="1" count="1" selected="0">
            <x v="1"/>
          </reference>
        </references>
      </pivotArea>
    </chartFormat>
    <chartFormat chart="7" format="11">
      <pivotArea type="data" outline="0" fieldPosition="0">
        <references count="2">
          <reference field="4294967294" count="1" selected="0">
            <x v="0"/>
          </reference>
          <reference field="1" count="1" selected="0">
            <x v="2"/>
          </reference>
        </references>
      </pivotArea>
    </chartFormat>
    <chartFormat chart="7" format="12">
      <pivotArea type="data" outline="0" fieldPosition="0">
        <references count="2">
          <reference field="4294967294" count="1" selected="0">
            <x v="0"/>
          </reference>
          <reference field="1" count="1" selected="0">
            <x v="3"/>
          </reference>
        </references>
      </pivotArea>
    </chartFormat>
    <chartFormat chart="7" format="13">
      <pivotArea type="data" outline="0" fieldPosition="0">
        <references count="2">
          <reference field="4294967294" count="1" selected="0">
            <x v="0"/>
          </reference>
          <reference field="1" count="1" selected="0">
            <x v="4"/>
          </reference>
        </references>
      </pivotArea>
    </chartFormat>
    <chartFormat chart="7" format="14">
      <pivotArea type="data" outline="0" fieldPosition="0">
        <references count="2">
          <reference field="4294967294" count="1" selected="0">
            <x v="0"/>
          </reference>
          <reference field="1" count="1" selected="0">
            <x v="5"/>
          </reference>
        </references>
      </pivotArea>
    </chartFormat>
  </chartFormats>
  <pivotHierarchies count="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active_Dashboard_Pending.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6E35A7-25BC-446B-AE2B-EBF2AB1A510D}"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4" firstHeaderRow="0" firstDataRow="1" firstDataCol="0"/>
  <pivotFields count="11">
    <pivotField dataField="1" showAll="0"/>
    <pivotField numFmtId="14" showAll="0"/>
    <pivotField showAll="0">
      <items count="5">
        <item x="2"/>
        <item x="0"/>
        <item x="3"/>
        <item x="1"/>
        <item t="default"/>
      </items>
    </pivotField>
    <pivotField showAll="0">
      <items count="3">
        <item x="1"/>
        <item x="0"/>
        <item t="default"/>
      </items>
    </pivotField>
    <pivotField showAll="0"/>
    <pivotField showAll="0"/>
    <pivotField dataField="1" showAll="0"/>
    <pivotField dataField="1" showAll="0"/>
    <pivotField showAll="0"/>
    <pivotField dataField="1" showAll="0"/>
    <pivotField showAll="0"/>
  </pivotFields>
  <rowItems count="1">
    <i/>
  </rowItems>
  <colFields count="1">
    <field x="-2"/>
  </colFields>
  <colItems count="4">
    <i>
      <x/>
    </i>
    <i i="1">
      <x v="1"/>
    </i>
    <i i="2">
      <x v="2"/>
    </i>
    <i i="3">
      <x v="3"/>
    </i>
  </colItems>
  <dataFields count="4">
    <dataField name="Sum of Revenue" fld="7" baseField="0" baseItem="1" numFmtId="165"/>
    <dataField name="Sum of Profit" fld="9" baseField="0" baseItem="0" numFmtId="44"/>
    <dataField name="Sum of Units" fld="6" baseField="0" baseItem="0"/>
    <dataField name="Count of OrderID" fld="0" subtotal="count" baseField="0" baseItem="4"/>
  </dataFields>
  <formats count="1">
    <format dxfId="20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BA0A2E-45D0-4516-9041-24FEC6FCF2F3}"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12" rowHeaderCaption="Payments">
  <location ref="M7:M8" firstHeaderRow="1" firstDataRow="1" firstDataCol="0"/>
  <pivotFields count="11">
    <pivotField showAll="0"/>
    <pivotField numFmtId="14"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5">
        <item x="2"/>
        <item x="0"/>
        <item x="3"/>
        <item x="1"/>
        <item t="default"/>
      </items>
    </pivotField>
    <pivotField showAll="0">
      <items count="3">
        <item x="1"/>
        <item x="0"/>
        <item t="default"/>
      </items>
    </pivotField>
    <pivotField showAll="0"/>
    <pivotField showAll="0" measureFilter="1" sortType="descending">
      <items count="11">
        <item x="9"/>
        <item x="6"/>
        <item x="3"/>
        <item x="1"/>
        <item x="2"/>
        <item x="8"/>
        <item x="0"/>
        <item x="5"/>
        <item x="7"/>
        <item x="4"/>
        <item t="default"/>
      </items>
    </pivotField>
    <pivotField showAll="0"/>
    <pivotField dataField="1" showAll="0"/>
    <pivotField showAll="0"/>
    <pivotField showAll="0"/>
    <pivotField showAll="0"/>
  </pivotFields>
  <rowItems count="1">
    <i/>
  </rowItems>
  <colItems count="1">
    <i/>
  </colItems>
  <dataFields count="1">
    <dataField name="Total Revenue" fld="7" baseField="3" baseItem="0" numFmtId="165"/>
  </dataFields>
  <formats count="3">
    <format dxfId="218">
      <pivotArea dataOnly="0" labelOnly="1" outline="0" axis="axisValues" fieldPosition="0"/>
    </format>
    <format dxfId="217">
      <pivotArea grandRow="1" outline="0" collapsedLevelsAreSubtotals="1" fieldPosition="0"/>
    </format>
    <format dxfId="216">
      <pivotArea outline="0" fieldPosition="0">
        <references count="1">
          <reference field="4294967294" count="1">
            <x v="0"/>
          </reference>
        </references>
      </pivotArea>
    </format>
  </formats>
  <chartFormats count="10">
    <chartFormat chart="51" format="1"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3" format="6"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3" format="2" series="1">
      <pivotArea type="data" outline="0" fieldPosition="0">
        <references count="1">
          <reference field="4294967294" count="1" selected="0">
            <x v="0"/>
          </reference>
        </references>
      </pivotArea>
    </chartFormat>
    <chartFormat chart="108" format="0" series="1">
      <pivotArea type="data" outline="0" fieldPosition="0">
        <references count="1">
          <reference field="4294967294" count="1" selected="0">
            <x v="0"/>
          </reference>
        </references>
      </pivotArea>
    </chartFormat>
    <chartFormat chart="1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A74C07-0156-4A8C-813F-563F33524FE0}" name="PivotTable1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12" rowHeaderCaption="Product">
  <location ref="J7:K13" firstHeaderRow="1" firstDataRow="1" firstDataCol="1"/>
  <pivotFields count="11">
    <pivotField showAll="0"/>
    <pivotField numFmtId="14"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5">
        <item x="2"/>
        <item x="0"/>
        <item x="3"/>
        <item x="1"/>
        <item t="default"/>
      </items>
    </pivotField>
    <pivotField showAll="0">
      <items count="3">
        <item x="1"/>
        <item x="0"/>
        <item t="default"/>
      </items>
    </pivotField>
    <pivotField showAll="0"/>
    <pivotField axis="axisRow" showAll="0" measureFilter="1" sortType="descending">
      <items count="11">
        <item x="4"/>
        <item x="7"/>
        <item x="5"/>
        <item x="0"/>
        <item x="8"/>
        <item x="2"/>
        <item x="1"/>
        <item x="3"/>
        <item x="6"/>
        <item x="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s>
  <rowFields count="1">
    <field x="5"/>
  </rowFields>
  <rowItems count="6">
    <i>
      <x v="3"/>
    </i>
    <i>
      <x v="8"/>
    </i>
    <i>
      <x v="5"/>
    </i>
    <i>
      <x v="4"/>
    </i>
    <i>
      <x v="1"/>
    </i>
    <i>
      <x/>
    </i>
  </rowItems>
  <colItems count="1">
    <i/>
  </colItems>
  <dataFields count="1">
    <dataField name="Total Revenue" fld="7" baseField="3" baseItem="0" numFmtId="165"/>
  </dataFields>
  <formats count="3">
    <format dxfId="221">
      <pivotArea dataOnly="0" labelOnly="1" outline="0" axis="axisValues" fieldPosition="0"/>
    </format>
    <format dxfId="220">
      <pivotArea grandRow="1" outline="0" collapsedLevelsAreSubtotals="1" fieldPosition="0"/>
    </format>
    <format dxfId="219">
      <pivotArea outline="0" fieldPosition="0">
        <references count="1">
          <reference field="4294967294" count="1">
            <x v="0"/>
          </reference>
        </references>
      </pivotArea>
    </format>
  </formats>
  <chartFormats count="9">
    <chartFormat chart="51" format="1"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3" format="6"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3" format="2" series="1">
      <pivotArea type="data" outline="0" fieldPosition="0">
        <references count="1">
          <reference field="4294967294" count="1" selected="0">
            <x v="0"/>
          </reference>
        </references>
      </pivotArea>
    </chartFormat>
    <chartFormat chart="1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7595088-CF73-4EA5-A980-96D3FCFF3E5D}" name="PivotTable12"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chartFormat="120" rowHeaderCaption="Date">
  <location ref="G7:H38" firstHeaderRow="1" firstDataRow="1" firstDataCol="1"/>
  <pivotFields count="11">
    <pivotField showAll="0"/>
    <pivotField axis="axisRow" numFmtId="14"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5">
        <item x="2"/>
        <item x="0"/>
        <item x="3"/>
        <item x="1"/>
        <item t="default"/>
      </items>
    </pivotField>
    <pivotField showAll="0">
      <items count="3">
        <item x="1"/>
        <item x="0"/>
        <item t="default"/>
      </items>
    </pivotField>
    <pivotField showAll="0"/>
    <pivotField showAll="0"/>
    <pivotField showAll="0"/>
    <pivotField dataField="1" showAll="0"/>
    <pivotField showAll="0"/>
    <pivotField showAll="0"/>
    <pivotField showAll="0"/>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Total Revenue" fld="7" baseField="3" baseItem="0" numFmtId="165"/>
  </dataFields>
  <formats count="3">
    <format dxfId="75">
      <pivotArea dataOnly="0" labelOnly="1" outline="0" axis="axisValues" fieldPosition="0"/>
    </format>
    <format dxfId="76">
      <pivotArea grandRow="1" outline="0" collapsedLevelsAreSubtotals="1" fieldPosition="0"/>
    </format>
    <format dxfId="77">
      <pivotArea outline="0" fieldPosition="0">
        <references count="1">
          <reference field="4294967294" count="1">
            <x v="0"/>
          </reference>
        </references>
      </pivotArea>
    </format>
  </formats>
  <chartFormats count="9">
    <chartFormat chart="51" format="1"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3" format="6" series="1">
      <pivotArea type="data" outline="0" fieldPosition="0">
        <references count="1">
          <reference field="4294967294" count="1" selected="0">
            <x v="0"/>
          </reference>
        </references>
      </pivotArea>
    </chartFormat>
    <chartFormat chart="103" format="2" series="1">
      <pivotArea type="data" outline="0" fieldPosition="0">
        <references count="1">
          <reference field="4294967294" count="1" selected="0">
            <x v="0"/>
          </reference>
        </references>
      </pivotArea>
    </chartFormat>
    <chartFormat chart="114" format="0" series="1">
      <pivotArea type="data" outline="0" fieldPosition="0">
        <references count="1">
          <reference field="4294967294" count="1" selected="0">
            <x v="0"/>
          </reference>
        </references>
      </pivotArea>
    </chartFormat>
    <chartFormat chart="1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1653D5A-BEE1-4644-B7B4-05CBF4D2CBB3}" name="PivotTable1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4" rowHeaderCaption="Region">
  <location ref="D7:E11" firstHeaderRow="1" firstDataRow="1" firstDataCol="1"/>
  <pivotFields count="11">
    <pivotField showAll="0"/>
    <pivotField numFmtId="14" showAll="0"/>
    <pivotField axis="axisRow" showAll="0">
      <items count="5">
        <item x="2"/>
        <item x="0"/>
        <item x="3"/>
        <item x="1"/>
        <item t="default"/>
      </items>
    </pivotField>
    <pivotField showAll="0">
      <items count="3">
        <item x="1"/>
        <item x="0"/>
        <item t="default"/>
      </items>
    </pivotField>
    <pivotField showAll="0"/>
    <pivotField showAll="0"/>
    <pivotField showAll="0"/>
    <pivotField dataField="1" showAll="0"/>
    <pivotField showAll="0"/>
    <pivotField showAll="0"/>
    <pivotField showAll="0"/>
  </pivotFields>
  <rowFields count="1">
    <field x="2"/>
  </rowFields>
  <rowItems count="4">
    <i>
      <x/>
    </i>
    <i>
      <x v="1"/>
    </i>
    <i>
      <x v="2"/>
    </i>
    <i>
      <x v="3"/>
    </i>
  </rowItems>
  <colItems count="1">
    <i/>
  </colItems>
  <dataFields count="1">
    <dataField name="Total Revenue" fld="7" baseField="3" baseItem="0" numFmtId="165"/>
  </dataFields>
  <formats count="3">
    <format dxfId="224">
      <pivotArea dataOnly="0" labelOnly="1" outline="0" axis="axisValues" fieldPosition="0"/>
    </format>
    <format dxfId="223">
      <pivotArea grandRow="1" outline="0" collapsedLevelsAreSubtotals="1" fieldPosition="0"/>
    </format>
    <format dxfId="222">
      <pivotArea outline="0" fieldPosition="0">
        <references count="1">
          <reference field="4294967294" count="1">
            <x v="0"/>
          </reference>
        </references>
      </pivotArea>
    </format>
  </formats>
  <chartFormats count="13">
    <chartFormat chart="51" format="1"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69" format="2">
      <pivotArea type="data" outline="0" fieldPosition="0">
        <references count="2">
          <reference field="4294967294" count="1" selected="0">
            <x v="0"/>
          </reference>
          <reference field="2" count="1" selected="0">
            <x v="0"/>
          </reference>
        </references>
      </pivotArea>
    </chartFormat>
    <chartFormat chart="69" format="3">
      <pivotArea type="data" outline="0" fieldPosition="0">
        <references count="2">
          <reference field="4294967294" count="1" selected="0">
            <x v="0"/>
          </reference>
          <reference field="2" count="1" selected="0">
            <x v="1"/>
          </reference>
        </references>
      </pivotArea>
    </chartFormat>
    <chartFormat chart="69" format="4">
      <pivotArea type="data" outline="0" fieldPosition="0">
        <references count="2">
          <reference field="4294967294" count="1" selected="0">
            <x v="0"/>
          </reference>
          <reference field="2" count="1" selected="0">
            <x v="2"/>
          </reference>
        </references>
      </pivotArea>
    </chartFormat>
    <chartFormat chart="69" format="5">
      <pivotArea type="data" outline="0" fieldPosition="0">
        <references count="2">
          <reference field="4294967294" count="1" selected="0">
            <x v="0"/>
          </reference>
          <reference field="2" count="1" selected="0">
            <x v="3"/>
          </reference>
        </references>
      </pivotArea>
    </chartFormat>
    <chartFormat chart="73" format="6" series="1">
      <pivotArea type="data" outline="0" fieldPosition="0">
        <references count="1">
          <reference field="4294967294" count="1" selected="0">
            <x v="0"/>
          </reference>
        </references>
      </pivotArea>
    </chartFormat>
    <chartFormat chart="73" format="7">
      <pivotArea type="data" outline="0" fieldPosition="0">
        <references count="2">
          <reference field="4294967294" count="1" selected="0">
            <x v="0"/>
          </reference>
          <reference field="2" count="1" selected="0">
            <x v="0"/>
          </reference>
        </references>
      </pivotArea>
    </chartFormat>
    <chartFormat chart="73" format="8">
      <pivotArea type="data" outline="0" fieldPosition="0">
        <references count="2">
          <reference field="4294967294" count="1" selected="0">
            <x v="0"/>
          </reference>
          <reference field="2" count="1" selected="0">
            <x v="1"/>
          </reference>
        </references>
      </pivotArea>
    </chartFormat>
    <chartFormat chart="73" format="9">
      <pivotArea type="data" outline="0" fieldPosition="0">
        <references count="2">
          <reference field="4294967294" count="1" selected="0">
            <x v="0"/>
          </reference>
          <reference field="2" count="1" selected="0">
            <x v="2"/>
          </reference>
        </references>
      </pivotArea>
    </chartFormat>
    <chartFormat chart="73" format="10">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256024-78BA-4D84-9C37-6545D12ACCEF}"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7" rowHeaderCaption="Category">
  <location ref="A7:B10" firstHeaderRow="1" firstDataRow="1" firstDataCol="1"/>
  <pivotFields count="11">
    <pivotField showAll="0"/>
    <pivotField numFmtId="14" showAll="0"/>
    <pivotField showAll="0">
      <items count="5">
        <item x="2"/>
        <item x="0"/>
        <item x="3"/>
        <item x="1"/>
        <item t="default"/>
      </items>
    </pivotField>
    <pivotField axis="axisRow" showAll="0">
      <items count="3">
        <item x="1"/>
        <item x="0"/>
        <item t="default"/>
      </items>
    </pivotField>
    <pivotField showAll="0"/>
    <pivotField showAll="0"/>
    <pivotField showAll="0"/>
    <pivotField dataField="1" showAll="0"/>
    <pivotField showAll="0"/>
    <pivotField showAll="0"/>
    <pivotField showAll="0"/>
  </pivotFields>
  <rowFields count="1">
    <field x="3"/>
  </rowFields>
  <rowItems count="3">
    <i>
      <x/>
    </i>
    <i>
      <x v="1"/>
    </i>
    <i t="grand">
      <x/>
    </i>
  </rowItems>
  <colItems count="1">
    <i/>
  </colItems>
  <dataFields count="1">
    <dataField name="Total Revenue" fld="7" baseField="3" baseItem="0" numFmtId="165"/>
  </dataFields>
  <formats count="3">
    <format dxfId="227">
      <pivotArea dataOnly="0" labelOnly="1" outline="0" axis="axisValues" fieldPosition="0"/>
    </format>
    <format dxfId="226">
      <pivotArea grandRow="1" outline="0" collapsedLevelsAreSubtotals="1" fieldPosition="0"/>
    </format>
    <format dxfId="225">
      <pivotArea outline="0" fieldPosition="0">
        <references count="1">
          <reference field="4294967294" count="1">
            <x v="0"/>
          </reference>
        </references>
      </pivotArea>
    </format>
  </formats>
  <chartFormats count="2">
    <chartFormat chart="51" format="1"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DBF0BA8-11BD-4A87-85E6-A144C1B77F18}" sourceName="Category">
  <pivotTables>
    <pivotTable tabId="2" name="PivotTable2"/>
    <pivotTable tabId="2" name="PivotTable1"/>
    <pivotTable tabId="2" name="PivotTable11"/>
    <pivotTable tabId="2" name="PivotTable12"/>
    <pivotTable tabId="2" name="PivotTable13"/>
    <pivotTable tabId="2" name="PivotTable14"/>
  </pivotTables>
  <data>
    <tabular pivotCacheId="1922731956">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2B0345A-3B58-45DF-89F0-BB378AE37367}" sourceName="Region">
  <pivotTables>
    <pivotTable tabId="2" name="PivotTable11"/>
    <pivotTable tabId="2" name="PivotTable1"/>
    <pivotTable tabId="2" name="PivotTable12"/>
    <pivotTable tabId="2" name="PivotTable13"/>
    <pivotTable tabId="2" name="PivotTable14"/>
    <pivotTable tabId="2" name="PivotTable2"/>
  </pivotTables>
  <data>
    <tabular pivotCacheId="1922731956">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C7DE34FD-D4BF-451C-AAD1-4F29921C10D8}" sourceName="[Table1].[Payment]">
  <pivotTables>
    <pivotTable tabId="4" name="PivotTable15"/>
  </pivotTables>
  <data>
    <olap pivotCacheId="1471617403">
      <levels count="2">
        <level uniqueName="[Table1].[Payment].[(All)]" sourceCaption="(All)" count="0"/>
        <level uniqueName="[Table1].[Payment].[Payment]" sourceCaption="Payment" count="6">
          <ranges>
            <range startItem="0">
              <i n="[Table1].[Payment].&amp;[Bank Transfer]" c="Bank Transfer"/>
              <i n="[Table1].[Payment].&amp;[Cash]" c="Cash"/>
              <i n="[Table1].[Payment].&amp;[GooglePay]" c="GooglePay"/>
              <i n="[Table1].[Payment].&amp;[Online]" c="Online"/>
              <i n="[Table1].[Payment].&amp;[PhonePay]" c="PhonePay"/>
              <i n="[Table1].[Payment].&amp;[UPI]" c="UPI"/>
            </range>
          </ranges>
        </level>
      </levels>
      <selections count="1">
        <selection n="[Table1].[Pay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1C75475-00A8-481B-B08E-26B799EF4312}" cache="Slicer_Category" caption="Category" rowHeight="241300"/>
  <slicer name="Region" xr10:uid="{6B030C68-7A96-43EB-85A7-356C426D2B94}" cache="Slicer_Region" caption="Region" rowHeight="241300"/>
  <slicer name="Payment" xr10:uid="{0858FFFD-F5C1-4B24-B5E8-41F81C8F2AD7}" cache="Slicer_Payment" caption="Payment"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3C964B-B92D-49D4-97A9-19660A82DF8F}" name="Table1" displayName="Table1" ref="A1:L81" totalsRowShown="0" headerRowDxfId="215" dataDxfId="214">
  <autoFilter ref="A1:L81" xr:uid="{62DB0EEA-0676-43DB-859E-819C88A102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2">
    <tableColumn id="1" xr3:uid="{738126A0-77CC-4FA7-BEAA-604BE6034D61}" name="OrderID" dataDxfId="213"/>
    <tableColumn id="2" xr3:uid="{F47BED5B-9114-48E4-8232-3A500635A1FE}" name="Date" dataDxfId="212"/>
    <tableColumn id="3" xr3:uid="{BE7E02D7-EFAD-42DC-8080-C661F2336B05}" name="Region" dataDxfId="211"/>
    <tableColumn id="4" xr3:uid="{B28B3883-CEE2-45F7-8969-333BBE4B2074}" name="Category" dataDxfId="210"/>
    <tableColumn id="5" xr3:uid="{EB7E26D4-D117-4A30-8FC9-7A9CAD5C9315}" name="SalesPerson" dataDxfId="209"/>
    <tableColumn id="6" xr3:uid="{625D3D46-0BBA-4CEB-BD19-C85ADC921C8E}" name="Product" dataDxfId="208"/>
    <tableColumn id="7" xr3:uid="{6505E808-929B-40D7-9DD6-8BD2F199A39F}" name="Units" dataDxfId="207"/>
    <tableColumn id="8" xr3:uid="{51FA1DEA-5E83-4C4E-B9AE-9D806731DD2B}" name="Revenue" dataDxfId="206"/>
    <tableColumn id="9" xr3:uid="{41EE43F3-EE7E-4E5E-8D0D-89FF529730E2}" name="Cost" dataDxfId="205"/>
    <tableColumn id="10" xr3:uid="{1D4BC204-9661-4CF8-8F5B-9178ABA62130}" name="Profit" dataDxfId="204">
      <calculatedColumnFormula>Table1[[#This Row],[Revenue]]-I2</calculatedColumnFormula>
    </tableColumn>
    <tableColumn id="11" xr3:uid="{D6F64765-2397-40B2-8755-A7DEA00920D7}" name="Profit Margin" dataDxfId="203">
      <calculatedColumnFormula>Table1[[#This Row],[Profit]]/Table1[[#This Row],[Revenue]]</calculatedColumnFormula>
    </tableColumn>
    <tableColumn id="12" xr3:uid="{341DDD3A-2C6F-4440-9EC6-6AF72BA3363A}" name="Payment" dataDxfId="202"/>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653B1DAA-82C9-4B3B-B34F-F37A2FFE30CD}" sourceName="Date">
  <pivotTables>
    <pivotTable tabId="2" name="PivotTable12"/>
  </pivotTables>
  <state minimalRefreshVersion="6" lastRefreshVersion="6" pivotCacheId="1922731956"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B39529C-D6AC-4A0E-9223-0BA6227B528E}" cache="NativeTimeline_Date" caption="Date" level="3" selectionLevel="3" scrollPosition="2024-02-27T00:00:00"/>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9A3DB-EF27-4C0F-A021-A3A4F61370F7}">
  <dimension ref="A3:B9"/>
  <sheetViews>
    <sheetView workbookViewId="0">
      <selection activeCell="H6" sqref="H6"/>
    </sheetView>
  </sheetViews>
  <sheetFormatPr defaultRowHeight="15" x14ac:dyDescent="0.25"/>
  <cols>
    <col min="1" max="1" width="13.140625" bestFit="1" customWidth="1"/>
    <col min="2" max="2" width="15.5703125" bestFit="1" customWidth="1"/>
  </cols>
  <sheetData>
    <row r="3" spans="1:2" x14ac:dyDescent="0.25">
      <c r="A3" s="7" t="s">
        <v>41</v>
      </c>
      <c r="B3" t="s">
        <v>35</v>
      </c>
    </row>
    <row r="4" spans="1:2" x14ac:dyDescent="0.25">
      <c r="A4" s="8" t="s">
        <v>50</v>
      </c>
      <c r="B4" s="3">
        <v>77000</v>
      </c>
    </row>
    <row r="5" spans="1:2" x14ac:dyDescent="0.25">
      <c r="A5" s="8" t="s">
        <v>45</v>
      </c>
      <c r="B5" s="3">
        <v>545400</v>
      </c>
    </row>
    <row r="6" spans="1:2" x14ac:dyDescent="0.25">
      <c r="A6" s="8" t="s">
        <v>49</v>
      </c>
      <c r="B6" s="3">
        <v>77000</v>
      </c>
    </row>
    <row r="7" spans="1:2" x14ac:dyDescent="0.25">
      <c r="A7" s="8" t="s">
        <v>46</v>
      </c>
      <c r="B7" s="3">
        <v>619000</v>
      </c>
    </row>
    <row r="8" spans="1:2" x14ac:dyDescent="0.25">
      <c r="A8" s="8" t="s">
        <v>48</v>
      </c>
      <c r="B8" s="3">
        <v>138500</v>
      </c>
    </row>
    <row r="9" spans="1:2" x14ac:dyDescent="0.25">
      <c r="A9" s="8" t="s">
        <v>47</v>
      </c>
      <c r="B9" s="3">
        <v>292700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79AC3-2811-4468-8EA5-68171310A892}">
  <dimension ref="A2:N38"/>
  <sheetViews>
    <sheetView workbookViewId="0">
      <selection activeCell="J19" sqref="J19"/>
    </sheetView>
  </sheetViews>
  <sheetFormatPr defaultRowHeight="15" x14ac:dyDescent="0.25"/>
  <cols>
    <col min="1" max="1" width="11.28515625" bestFit="1" customWidth="1"/>
    <col min="2" max="2" width="14.7109375" bestFit="1" customWidth="1"/>
    <col min="3" max="3" width="12.28515625" bestFit="1" customWidth="1"/>
    <col min="4" max="4" width="16.140625" bestFit="1" customWidth="1"/>
    <col min="5" max="5" width="14.7109375" bestFit="1" customWidth="1"/>
    <col min="7" max="7" width="10.42578125" bestFit="1" customWidth="1"/>
    <col min="8" max="8" width="14.7109375" bestFit="1" customWidth="1"/>
    <col min="9" max="9" width="10.28515625" customWidth="1"/>
    <col min="10" max="10" width="12.140625" bestFit="1" customWidth="1"/>
    <col min="11" max="11" width="14.7109375" bestFit="1" customWidth="1"/>
    <col min="12" max="12" width="5.85546875" customWidth="1"/>
    <col min="13" max="13" width="14.7109375" bestFit="1" customWidth="1"/>
    <col min="14" max="14" width="11.42578125" customWidth="1"/>
  </cols>
  <sheetData>
    <row r="2" spans="1:14" x14ac:dyDescent="0.25">
      <c r="H2" t="s">
        <v>39</v>
      </c>
    </row>
    <row r="3" spans="1:14" x14ac:dyDescent="0.25">
      <c r="A3" t="s">
        <v>35</v>
      </c>
      <c r="B3" t="s">
        <v>37</v>
      </c>
      <c r="C3" t="s">
        <v>36</v>
      </c>
      <c r="D3" t="s">
        <v>38</v>
      </c>
      <c r="E3" s="4" t="s">
        <v>10</v>
      </c>
      <c r="H3" t="s">
        <v>7</v>
      </c>
      <c r="I3" t="s">
        <v>9</v>
      </c>
      <c r="J3" t="s">
        <v>40</v>
      </c>
      <c r="K3" t="s">
        <v>6</v>
      </c>
      <c r="L3" t="s">
        <v>10</v>
      </c>
    </row>
    <row r="4" spans="1:14" x14ac:dyDescent="0.25">
      <c r="A4" s="9">
        <v>1749600</v>
      </c>
      <c r="B4" s="10">
        <v>525600</v>
      </c>
      <c r="C4" s="3">
        <v>168</v>
      </c>
      <c r="D4" s="3">
        <v>80</v>
      </c>
      <c r="E4" s="6">
        <f>GETPIVOTDATA("Sum of Profit",$A$3)/GETPIVOTDATA("Sum of Revenue",$A$3)</f>
        <v>0.30041152263374488</v>
      </c>
      <c r="H4" t="str">
        <f>TEXT(A4,"#,##")</f>
        <v>17,49,600</v>
      </c>
      <c r="I4" s="12" t="str">
        <f>TEXT(B4,"#,##")</f>
        <v>5,25,600</v>
      </c>
      <c r="J4" t="str">
        <f>TEXT(D4,"#,##0")</f>
        <v>80</v>
      </c>
      <c r="K4" t="str">
        <f>TEXT(C4,"#,##0")</f>
        <v>168</v>
      </c>
      <c r="L4" s="5">
        <f>B4/A4</f>
        <v>0.30041152263374488</v>
      </c>
      <c r="M4" t="str">
        <f t="shared" ref="M4:N4" si="0">TEXT(F4,"#,##")</f>
        <v/>
      </c>
      <c r="N4" t="str">
        <f t="shared" si="0"/>
        <v/>
      </c>
    </row>
    <row r="7" spans="1:14" x14ac:dyDescent="0.25">
      <c r="A7" s="7" t="s">
        <v>3</v>
      </c>
      <c r="B7" s="10" t="s">
        <v>43</v>
      </c>
      <c r="D7" s="7" t="s">
        <v>2</v>
      </c>
      <c r="E7" s="10" t="s">
        <v>43</v>
      </c>
      <c r="F7" s="7"/>
      <c r="G7" s="7" t="s">
        <v>1</v>
      </c>
      <c r="H7" s="10" t="s">
        <v>43</v>
      </c>
      <c r="I7" s="7"/>
      <c r="J7" s="7" t="s">
        <v>5</v>
      </c>
      <c r="K7" s="10" t="s">
        <v>43</v>
      </c>
      <c r="L7" s="7"/>
      <c r="M7" s="10" t="s">
        <v>43</v>
      </c>
    </row>
    <row r="8" spans="1:14" x14ac:dyDescent="0.25">
      <c r="A8" s="8" t="s">
        <v>16</v>
      </c>
      <c r="B8" s="9">
        <v>181600</v>
      </c>
      <c r="D8" s="8" t="s">
        <v>19</v>
      </c>
      <c r="E8" s="9">
        <v>560000</v>
      </c>
      <c r="G8" s="11">
        <v>45352</v>
      </c>
      <c r="H8" s="9">
        <v>104500</v>
      </c>
      <c r="J8" s="8" t="s">
        <v>14</v>
      </c>
      <c r="K8" s="9">
        <v>800000</v>
      </c>
      <c r="M8" s="9">
        <v>1749600</v>
      </c>
    </row>
    <row r="9" spans="1:14" x14ac:dyDescent="0.25">
      <c r="A9" s="8" t="s">
        <v>12</v>
      </c>
      <c r="B9" s="9">
        <v>1568000</v>
      </c>
      <c r="D9" s="8" t="s">
        <v>11</v>
      </c>
      <c r="E9" s="9">
        <v>1008000</v>
      </c>
      <c r="G9" s="11">
        <v>45353</v>
      </c>
      <c r="H9" s="9">
        <v>34000</v>
      </c>
      <c r="J9" s="8" t="s">
        <v>30</v>
      </c>
      <c r="K9" s="9">
        <v>320000</v>
      </c>
    </row>
    <row r="10" spans="1:14" x14ac:dyDescent="0.25">
      <c r="A10" s="8" t="s">
        <v>42</v>
      </c>
      <c r="B10" s="9">
        <v>1749600</v>
      </c>
      <c r="D10" s="8" t="s">
        <v>22</v>
      </c>
      <c r="E10" s="9">
        <v>80000</v>
      </c>
      <c r="G10" s="11">
        <v>45354</v>
      </c>
      <c r="H10" s="9">
        <v>11000</v>
      </c>
      <c r="J10" s="8" t="s">
        <v>21</v>
      </c>
      <c r="K10" s="9">
        <v>240000</v>
      </c>
    </row>
    <row r="11" spans="1:14" x14ac:dyDescent="0.25">
      <c r="D11" s="8" t="s">
        <v>15</v>
      </c>
      <c r="E11" s="9">
        <v>101600</v>
      </c>
      <c r="G11" s="11">
        <v>45355</v>
      </c>
      <c r="H11" s="9">
        <v>46000</v>
      </c>
      <c r="J11" s="8" t="s">
        <v>33</v>
      </c>
      <c r="K11" s="9">
        <v>160000</v>
      </c>
    </row>
    <row r="12" spans="1:14" x14ac:dyDescent="0.25">
      <c r="G12" s="11">
        <v>45356</v>
      </c>
      <c r="H12" s="9">
        <v>20000</v>
      </c>
      <c r="J12" s="8" t="s">
        <v>32</v>
      </c>
      <c r="K12" s="9">
        <v>48000</v>
      </c>
    </row>
    <row r="13" spans="1:14" x14ac:dyDescent="0.25">
      <c r="G13" s="11">
        <v>45357</v>
      </c>
      <c r="H13" s="9">
        <v>103200</v>
      </c>
      <c r="J13" s="8" t="s">
        <v>26</v>
      </c>
      <c r="K13" s="9">
        <v>48000</v>
      </c>
    </row>
    <row r="14" spans="1:14" x14ac:dyDescent="0.25">
      <c r="G14" s="11">
        <v>45358</v>
      </c>
      <c r="H14" s="9">
        <v>34500</v>
      </c>
    </row>
    <row r="15" spans="1:14" x14ac:dyDescent="0.25">
      <c r="G15" s="11">
        <v>45359</v>
      </c>
      <c r="H15" s="9">
        <v>10000</v>
      </c>
    </row>
    <row r="16" spans="1:14" x14ac:dyDescent="0.25">
      <c r="G16" s="11">
        <v>45360</v>
      </c>
      <c r="H16" s="9">
        <v>51000</v>
      </c>
    </row>
    <row r="17" spans="7:8" x14ac:dyDescent="0.25">
      <c r="G17" s="11">
        <v>45361</v>
      </c>
      <c r="H17" s="9">
        <v>23200</v>
      </c>
    </row>
    <row r="18" spans="7:8" x14ac:dyDescent="0.25">
      <c r="G18" s="11">
        <v>45362</v>
      </c>
      <c r="H18" s="9">
        <v>104500</v>
      </c>
    </row>
    <row r="19" spans="7:8" x14ac:dyDescent="0.25">
      <c r="G19" s="11">
        <v>45363</v>
      </c>
      <c r="H19" s="9">
        <v>40000</v>
      </c>
    </row>
    <row r="20" spans="7:8" x14ac:dyDescent="0.25">
      <c r="G20" s="11">
        <v>45364</v>
      </c>
      <c r="H20" s="9">
        <v>45000</v>
      </c>
    </row>
    <row r="21" spans="7:8" x14ac:dyDescent="0.25">
      <c r="G21" s="11">
        <v>45365</v>
      </c>
      <c r="H21" s="9">
        <v>6000</v>
      </c>
    </row>
    <row r="22" spans="7:8" x14ac:dyDescent="0.25">
      <c r="G22" s="11">
        <v>45366</v>
      </c>
      <c r="H22" s="9">
        <v>123200</v>
      </c>
    </row>
    <row r="23" spans="7:8" x14ac:dyDescent="0.25">
      <c r="G23" s="11">
        <v>45367</v>
      </c>
      <c r="H23" s="9">
        <v>34500</v>
      </c>
    </row>
    <row r="24" spans="7:8" x14ac:dyDescent="0.25">
      <c r="G24" s="11">
        <v>45368</v>
      </c>
      <c r="H24" s="9">
        <v>10000</v>
      </c>
    </row>
    <row r="25" spans="7:8" x14ac:dyDescent="0.25">
      <c r="G25" s="11">
        <v>45369</v>
      </c>
      <c r="H25" s="9">
        <v>45000</v>
      </c>
    </row>
    <row r="26" spans="7:8" x14ac:dyDescent="0.25">
      <c r="G26" s="11">
        <v>45370</v>
      </c>
      <c r="H26" s="9">
        <v>6000</v>
      </c>
    </row>
    <row r="27" spans="7:8" x14ac:dyDescent="0.25">
      <c r="G27" s="11">
        <v>45371</v>
      </c>
      <c r="H27" s="9">
        <v>23200</v>
      </c>
    </row>
    <row r="28" spans="7:8" x14ac:dyDescent="0.25">
      <c r="G28" s="11">
        <v>45372</v>
      </c>
      <c r="H28" s="9">
        <v>134500</v>
      </c>
    </row>
    <row r="29" spans="7:8" x14ac:dyDescent="0.25">
      <c r="G29" s="11">
        <v>45373</v>
      </c>
      <c r="H29" s="9">
        <v>15000</v>
      </c>
    </row>
    <row r="30" spans="7:8" x14ac:dyDescent="0.25">
      <c r="G30" s="11">
        <v>45374</v>
      </c>
      <c r="H30" s="9">
        <v>69200</v>
      </c>
    </row>
    <row r="31" spans="7:8" x14ac:dyDescent="0.25">
      <c r="G31" s="11">
        <v>45375</v>
      </c>
      <c r="H31" s="9">
        <v>104500</v>
      </c>
    </row>
    <row r="32" spans="7:8" x14ac:dyDescent="0.25">
      <c r="G32" s="11">
        <v>45376</v>
      </c>
      <c r="H32" s="9">
        <v>34000</v>
      </c>
    </row>
    <row r="33" spans="7:8" x14ac:dyDescent="0.25">
      <c r="G33" s="11">
        <v>45377</v>
      </c>
      <c r="H33" s="9">
        <v>51000</v>
      </c>
    </row>
    <row r="34" spans="7:8" x14ac:dyDescent="0.25">
      <c r="G34" s="11">
        <v>45378</v>
      </c>
      <c r="H34" s="9">
        <v>26000</v>
      </c>
    </row>
    <row r="35" spans="7:8" x14ac:dyDescent="0.25">
      <c r="G35" s="11">
        <v>45379</v>
      </c>
      <c r="H35" s="9">
        <v>103200</v>
      </c>
    </row>
    <row r="36" spans="7:8" x14ac:dyDescent="0.25">
      <c r="G36" s="11">
        <v>45380</v>
      </c>
      <c r="H36" s="9">
        <v>49500</v>
      </c>
    </row>
    <row r="37" spans="7:8" x14ac:dyDescent="0.25">
      <c r="G37" s="11">
        <v>45381</v>
      </c>
      <c r="H37" s="9">
        <v>203700</v>
      </c>
    </row>
    <row r="38" spans="7:8" x14ac:dyDescent="0.25">
      <c r="G38" s="11">
        <v>45382</v>
      </c>
      <c r="H38" s="9">
        <v>84200</v>
      </c>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0139B-9F84-4DC3-8455-FD62D8C74B76}">
  <dimension ref="A1:L81"/>
  <sheetViews>
    <sheetView workbookViewId="0">
      <selection activeCell="M80" sqref="M80"/>
    </sheetView>
  </sheetViews>
  <sheetFormatPr defaultRowHeight="15" x14ac:dyDescent="0.25"/>
  <cols>
    <col min="1" max="1" width="10.140625" customWidth="1"/>
    <col min="2" max="2" width="14.85546875" customWidth="1"/>
    <col min="3" max="3" width="10.85546875" customWidth="1"/>
    <col min="4" max="4" width="14.140625" customWidth="1"/>
    <col min="5" max="5" width="13.85546875" customWidth="1"/>
    <col min="6" max="6" width="13" customWidth="1"/>
    <col min="8" max="8" width="11" customWidth="1"/>
    <col min="9" max="9" width="10.140625" customWidth="1"/>
    <col min="10" max="10" width="9.85546875" customWidth="1"/>
    <col min="11" max="11" width="14.85546875" customWidth="1"/>
    <col min="12" max="12" width="14.28515625" customWidth="1"/>
  </cols>
  <sheetData>
    <row r="1" spans="1:12" x14ac:dyDescent="0.25">
      <c r="A1" s="1" t="s">
        <v>0</v>
      </c>
      <c r="B1" s="1" t="s">
        <v>1</v>
      </c>
      <c r="C1" s="1" t="s">
        <v>2</v>
      </c>
      <c r="D1" s="1" t="s">
        <v>3</v>
      </c>
      <c r="E1" s="1" t="s">
        <v>4</v>
      </c>
      <c r="F1" s="1" t="s">
        <v>5</v>
      </c>
      <c r="G1" s="1" t="s">
        <v>6</v>
      </c>
      <c r="H1" s="1" t="s">
        <v>7</v>
      </c>
      <c r="I1" s="1" t="s">
        <v>8</v>
      </c>
      <c r="J1" s="1" t="s">
        <v>9</v>
      </c>
      <c r="K1" s="1" t="s">
        <v>10</v>
      </c>
      <c r="L1" s="1" t="s">
        <v>44</v>
      </c>
    </row>
    <row r="2" spans="1:12" x14ac:dyDescent="0.25">
      <c r="A2" s="1">
        <v>5001</v>
      </c>
      <c r="B2" s="2">
        <v>45352</v>
      </c>
      <c r="C2" s="1" t="s">
        <v>11</v>
      </c>
      <c r="D2" s="1" t="s">
        <v>12</v>
      </c>
      <c r="E2" s="1" t="s">
        <v>13</v>
      </c>
      <c r="F2" s="1" t="s">
        <v>14</v>
      </c>
      <c r="G2" s="1">
        <v>2</v>
      </c>
      <c r="H2" s="1">
        <v>100000</v>
      </c>
      <c r="I2" s="1">
        <v>70000</v>
      </c>
      <c r="J2" s="1">
        <f>Table1[[#This Row],[Revenue]]-I2</f>
        <v>30000</v>
      </c>
      <c r="K2" s="1">
        <f>Table1[[#This Row],[Profit]]/Table1[[#This Row],[Revenue]]</f>
        <v>0.3</v>
      </c>
      <c r="L2" s="1" t="s">
        <v>45</v>
      </c>
    </row>
    <row r="3" spans="1:12" x14ac:dyDescent="0.25">
      <c r="A3" s="1">
        <v>5002</v>
      </c>
      <c r="B3" s="2">
        <v>45352</v>
      </c>
      <c r="C3" s="1" t="s">
        <v>15</v>
      </c>
      <c r="D3" s="1" t="s">
        <v>16</v>
      </c>
      <c r="E3" s="1" t="s">
        <v>17</v>
      </c>
      <c r="F3" s="1" t="s">
        <v>18</v>
      </c>
      <c r="G3" s="1">
        <v>3</v>
      </c>
      <c r="H3" s="1">
        <v>4500</v>
      </c>
      <c r="I3" s="1">
        <v>2000</v>
      </c>
      <c r="J3" s="1">
        <f>Table1[[#This Row],[Revenue]]-I3</f>
        <v>2500</v>
      </c>
      <c r="K3" s="1">
        <f>Table1[[#This Row],[Profit]]/Table1[[#This Row],[Revenue]]</f>
        <v>0.55555555555555558</v>
      </c>
      <c r="L3" s="1" t="s">
        <v>46</v>
      </c>
    </row>
    <row r="4" spans="1:12" x14ac:dyDescent="0.25">
      <c r="A4" s="1">
        <v>5003</v>
      </c>
      <c r="B4" s="2">
        <v>45353</v>
      </c>
      <c r="C4" s="1" t="s">
        <v>19</v>
      </c>
      <c r="D4" s="1" t="s">
        <v>12</v>
      </c>
      <c r="E4" s="1" t="s">
        <v>20</v>
      </c>
      <c r="F4" s="1" t="s">
        <v>21</v>
      </c>
      <c r="G4" s="1">
        <v>1</v>
      </c>
      <c r="H4" s="1">
        <v>30000</v>
      </c>
      <c r="I4" s="1">
        <v>22000</v>
      </c>
      <c r="J4" s="1">
        <f>Table1[[#This Row],[Revenue]]-I4</f>
        <v>8000</v>
      </c>
      <c r="K4" s="1">
        <f>Table1[[#This Row],[Profit]]/Table1[[#This Row],[Revenue]]</f>
        <v>0.26666666666666666</v>
      </c>
      <c r="L4" s="1" t="s">
        <v>47</v>
      </c>
    </row>
    <row r="5" spans="1:12" x14ac:dyDescent="0.25">
      <c r="A5" s="1">
        <v>5004</v>
      </c>
      <c r="B5" s="2">
        <v>45353</v>
      </c>
      <c r="C5" s="1" t="s">
        <v>22</v>
      </c>
      <c r="D5" s="1" t="s">
        <v>16</v>
      </c>
      <c r="E5" s="1" t="s">
        <v>23</v>
      </c>
      <c r="F5" s="1" t="s">
        <v>24</v>
      </c>
      <c r="G5" s="1">
        <v>2</v>
      </c>
      <c r="H5" s="1">
        <v>4000</v>
      </c>
      <c r="I5" s="1">
        <v>2500</v>
      </c>
      <c r="J5" s="1">
        <f>Table1[[#This Row],[Revenue]]-I5</f>
        <v>1500</v>
      </c>
      <c r="K5" s="1">
        <f>Table1[[#This Row],[Profit]]/Table1[[#This Row],[Revenue]]</f>
        <v>0.375</v>
      </c>
      <c r="L5" s="1" t="s">
        <v>47</v>
      </c>
    </row>
    <row r="6" spans="1:12" x14ac:dyDescent="0.25">
      <c r="A6" s="1">
        <v>5005</v>
      </c>
      <c r="B6" s="2">
        <v>45354</v>
      </c>
      <c r="C6" s="1" t="s">
        <v>11</v>
      </c>
      <c r="D6" s="1" t="s">
        <v>12</v>
      </c>
      <c r="E6" s="1" t="s">
        <v>25</v>
      </c>
      <c r="F6" s="1" t="s">
        <v>26</v>
      </c>
      <c r="G6" s="1">
        <v>3</v>
      </c>
      <c r="H6" s="1">
        <v>6000</v>
      </c>
      <c r="I6" s="1">
        <v>3500</v>
      </c>
      <c r="J6" s="1">
        <f>Table1[[#This Row],[Revenue]]-I6</f>
        <v>2500</v>
      </c>
      <c r="K6" s="1">
        <f>Table1[[#This Row],[Profit]]/Table1[[#This Row],[Revenue]]</f>
        <v>0.41666666666666669</v>
      </c>
      <c r="L6" s="1" t="s">
        <v>46</v>
      </c>
    </row>
    <row r="7" spans="1:12" x14ac:dyDescent="0.25">
      <c r="A7" s="1">
        <v>5006</v>
      </c>
      <c r="B7" s="2">
        <v>45354</v>
      </c>
      <c r="C7" s="1" t="s">
        <v>15</v>
      </c>
      <c r="D7" s="1" t="s">
        <v>16</v>
      </c>
      <c r="E7" s="1" t="s">
        <v>27</v>
      </c>
      <c r="F7" s="1" t="s">
        <v>28</v>
      </c>
      <c r="G7" s="1">
        <v>2</v>
      </c>
      <c r="H7" s="1">
        <v>5000</v>
      </c>
      <c r="I7" s="1">
        <v>3000</v>
      </c>
      <c r="J7" s="1">
        <f>Table1[[#This Row],[Revenue]]-I7</f>
        <v>2000</v>
      </c>
      <c r="K7" s="1">
        <f>Table1[[#This Row],[Profit]]/Table1[[#This Row],[Revenue]]</f>
        <v>0.4</v>
      </c>
      <c r="L7" s="1" t="s">
        <v>46</v>
      </c>
    </row>
    <row r="8" spans="1:12" x14ac:dyDescent="0.25">
      <c r="A8" s="1">
        <v>5007</v>
      </c>
      <c r="B8" s="2">
        <v>45355</v>
      </c>
      <c r="C8" s="1" t="s">
        <v>19</v>
      </c>
      <c r="D8" s="1" t="s">
        <v>12</v>
      </c>
      <c r="E8" s="1" t="s">
        <v>29</v>
      </c>
      <c r="F8" s="1" t="s">
        <v>30</v>
      </c>
      <c r="G8" s="1">
        <v>1</v>
      </c>
      <c r="H8" s="1">
        <v>40000</v>
      </c>
      <c r="I8" s="1">
        <v>30000</v>
      </c>
      <c r="J8" s="1">
        <f>Table1[[#This Row],[Revenue]]-I8</f>
        <v>10000</v>
      </c>
      <c r="K8" s="1">
        <f>Table1[[#This Row],[Profit]]/Table1[[#This Row],[Revenue]]</f>
        <v>0.25</v>
      </c>
      <c r="L8" s="1" t="s">
        <v>46</v>
      </c>
    </row>
    <row r="9" spans="1:12" x14ac:dyDescent="0.25">
      <c r="A9" s="1">
        <v>5008</v>
      </c>
      <c r="B9" s="2">
        <v>45355</v>
      </c>
      <c r="C9" s="1" t="s">
        <v>22</v>
      </c>
      <c r="D9" s="1" t="s">
        <v>16</v>
      </c>
      <c r="E9" s="1" t="s">
        <v>31</v>
      </c>
      <c r="F9" s="1" t="s">
        <v>32</v>
      </c>
      <c r="G9" s="1">
        <v>2</v>
      </c>
      <c r="H9" s="1">
        <v>6000</v>
      </c>
      <c r="I9" s="1">
        <v>3500</v>
      </c>
      <c r="J9" s="1">
        <f>Table1[[#This Row],[Revenue]]-I9</f>
        <v>2500</v>
      </c>
      <c r="K9" s="1">
        <f>Table1[[#This Row],[Profit]]/Table1[[#This Row],[Revenue]]</f>
        <v>0.41666666666666669</v>
      </c>
      <c r="L9" s="1" t="s">
        <v>46</v>
      </c>
    </row>
    <row r="10" spans="1:12" x14ac:dyDescent="0.25">
      <c r="A10" s="1">
        <v>5009</v>
      </c>
      <c r="B10" s="2">
        <v>45356</v>
      </c>
      <c r="C10" s="1" t="s">
        <v>11</v>
      </c>
      <c r="D10" s="1" t="s">
        <v>12</v>
      </c>
      <c r="E10" s="1" t="s">
        <v>13</v>
      </c>
      <c r="F10" s="1" t="s">
        <v>33</v>
      </c>
      <c r="G10" s="1">
        <v>1</v>
      </c>
      <c r="H10" s="1">
        <v>20000</v>
      </c>
      <c r="I10" s="1">
        <v>15000</v>
      </c>
      <c r="J10" s="1">
        <f>Table1[[#This Row],[Revenue]]-I10</f>
        <v>5000</v>
      </c>
      <c r="K10" s="1">
        <f>Table1[[#This Row],[Profit]]/Table1[[#This Row],[Revenue]]</f>
        <v>0.25</v>
      </c>
      <c r="L10" s="1" t="s">
        <v>46</v>
      </c>
    </row>
    <row r="11" spans="1:12" x14ac:dyDescent="0.25">
      <c r="A11" s="1">
        <v>5010</v>
      </c>
      <c r="B11" s="2">
        <v>45357</v>
      </c>
      <c r="C11" s="1" t="s">
        <v>15</v>
      </c>
      <c r="D11" s="1" t="s">
        <v>16</v>
      </c>
      <c r="E11" s="1" t="s">
        <v>17</v>
      </c>
      <c r="F11" s="1" t="s">
        <v>34</v>
      </c>
      <c r="G11" s="1">
        <v>4</v>
      </c>
      <c r="H11" s="1">
        <v>3200</v>
      </c>
      <c r="I11" s="1">
        <v>1500</v>
      </c>
      <c r="J11" s="1">
        <f>Table1[[#This Row],[Revenue]]-I11</f>
        <v>1700</v>
      </c>
      <c r="K11" s="1">
        <f>Table1[[#This Row],[Profit]]/Table1[[#This Row],[Revenue]]</f>
        <v>0.53125</v>
      </c>
      <c r="L11" s="1" t="s">
        <v>46</v>
      </c>
    </row>
    <row r="12" spans="1:12" x14ac:dyDescent="0.25">
      <c r="A12" s="1">
        <v>5011</v>
      </c>
      <c r="B12" s="2">
        <v>45357</v>
      </c>
      <c r="C12" s="1" t="s">
        <v>11</v>
      </c>
      <c r="D12" s="1" t="s">
        <v>12</v>
      </c>
      <c r="E12" s="1" t="s">
        <v>13</v>
      </c>
      <c r="F12" s="1" t="s">
        <v>14</v>
      </c>
      <c r="G12" s="1">
        <v>2</v>
      </c>
      <c r="H12" s="1">
        <v>100000</v>
      </c>
      <c r="I12" s="1">
        <v>70000</v>
      </c>
      <c r="J12" s="1">
        <f>Table1[[#This Row],[Revenue]]-I12</f>
        <v>30000</v>
      </c>
      <c r="K12" s="1">
        <f>Table1[[#This Row],[Profit]]/Table1[[#This Row],[Revenue]]</f>
        <v>0.3</v>
      </c>
      <c r="L12" s="1" t="s">
        <v>48</v>
      </c>
    </row>
    <row r="13" spans="1:12" x14ac:dyDescent="0.25">
      <c r="A13" s="1">
        <v>5012</v>
      </c>
      <c r="B13" s="2">
        <v>45358</v>
      </c>
      <c r="C13" s="1" t="s">
        <v>15</v>
      </c>
      <c r="D13" s="1" t="s">
        <v>16</v>
      </c>
      <c r="E13" s="1" t="s">
        <v>17</v>
      </c>
      <c r="F13" s="1" t="s">
        <v>18</v>
      </c>
      <c r="G13" s="1">
        <v>3</v>
      </c>
      <c r="H13" s="1">
        <v>4500</v>
      </c>
      <c r="I13" s="1">
        <v>2000</v>
      </c>
      <c r="J13" s="1">
        <f>Table1[[#This Row],[Revenue]]-I13</f>
        <v>2500</v>
      </c>
      <c r="K13" s="1">
        <f>Table1[[#This Row],[Profit]]/Table1[[#This Row],[Revenue]]</f>
        <v>0.55555555555555558</v>
      </c>
      <c r="L13" s="1" t="s">
        <v>48</v>
      </c>
    </row>
    <row r="14" spans="1:12" x14ac:dyDescent="0.25">
      <c r="A14" s="1">
        <v>5013</v>
      </c>
      <c r="B14" s="2">
        <v>45358</v>
      </c>
      <c r="C14" s="1" t="s">
        <v>19</v>
      </c>
      <c r="D14" s="1" t="s">
        <v>12</v>
      </c>
      <c r="E14" s="1" t="s">
        <v>20</v>
      </c>
      <c r="F14" s="1" t="s">
        <v>21</v>
      </c>
      <c r="G14" s="1">
        <v>1</v>
      </c>
      <c r="H14" s="1">
        <v>30000</v>
      </c>
      <c r="I14" s="1">
        <v>22000</v>
      </c>
      <c r="J14" s="1">
        <f>Table1[[#This Row],[Revenue]]-I14</f>
        <v>8000</v>
      </c>
      <c r="K14" s="1">
        <f>Table1[[#This Row],[Profit]]/Table1[[#This Row],[Revenue]]</f>
        <v>0.26666666666666666</v>
      </c>
      <c r="L14" s="1" t="s">
        <v>48</v>
      </c>
    </row>
    <row r="15" spans="1:12" x14ac:dyDescent="0.25">
      <c r="A15" s="1">
        <v>5014</v>
      </c>
      <c r="B15" s="2">
        <v>45359</v>
      </c>
      <c r="C15" s="1" t="s">
        <v>22</v>
      </c>
      <c r="D15" s="1" t="s">
        <v>16</v>
      </c>
      <c r="E15" s="1" t="s">
        <v>23</v>
      </c>
      <c r="F15" s="1" t="s">
        <v>24</v>
      </c>
      <c r="G15" s="1">
        <v>2</v>
      </c>
      <c r="H15" s="1">
        <v>4000</v>
      </c>
      <c r="I15" s="1">
        <v>2500</v>
      </c>
      <c r="J15" s="1">
        <f>Table1[[#This Row],[Revenue]]-I15</f>
        <v>1500</v>
      </c>
      <c r="K15" s="1">
        <f>Table1[[#This Row],[Profit]]/Table1[[#This Row],[Revenue]]</f>
        <v>0.375</v>
      </c>
      <c r="L15" s="1" t="s">
        <v>48</v>
      </c>
    </row>
    <row r="16" spans="1:12" x14ac:dyDescent="0.25">
      <c r="A16" s="1">
        <v>5015</v>
      </c>
      <c r="B16" s="2">
        <v>45359</v>
      </c>
      <c r="C16" s="1" t="s">
        <v>11</v>
      </c>
      <c r="D16" s="1" t="s">
        <v>12</v>
      </c>
      <c r="E16" s="1" t="s">
        <v>25</v>
      </c>
      <c r="F16" s="1" t="s">
        <v>26</v>
      </c>
      <c r="G16" s="1">
        <v>3</v>
      </c>
      <c r="H16" s="1">
        <v>6000</v>
      </c>
      <c r="I16" s="1">
        <v>3500</v>
      </c>
      <c r="J16" s="1">
        <f>Table1[[#This Row],[Revenue]]-I16</f>
        <v>2500</v>
      </c>
      <c r="K16" s="1">
        <f>Table1[[#This Row],[Profit]]/Table1[[#This Row],[Revenue]]</f>
        <v>0.41666666666666669</v>
      </c>
      <c r="L16" s="1" t="s">
        <v>49</v>
      </c>
    </row>
    <row r="17" spans="1:12" x14ac:dyDescent="0.25">
      <c r="A17" s="1">
        <v>5016</v>
      </c>
      <c r="B17" s="2">
        <v>45360</v>
      </c>
      <c r="C17" s="1" t="s">
        <v>15</v>
      </c>
      <c r="D17" s="1" t="s">
        <v>16</v>
      </c>
      <c r="E17" s="1" t="s">
        <v>27</v>
      </c>
      <c r="F17" s="1" t="s">
        <v>28</v>
      </c>
      <c r="G17" s="1">
        <v>2</v>
      </c>
      <c r="H17" s="1">
        <v>5000</v>
      </c>
      <c r="I17" s="1">
        <v>3000</v>
      </c>
      <c r="J17" s="1">
        <f>Table1[[#This Row],[Revenue]]-I17</f>
        <v>2000</v>
      </c>
      <c r="K17" s="1">
        <f>Table1[[#This Row],[Profit]]/Table1[[#This Row],[Revenue]]</f>
        <v>0.4</v>
      </c>
      <c r="L17" s="1" t="s">
        <v>49</v>
      </c>
    </row>
    <row r="18" spans="1:12" x14ac:dyDescent="0.25">
      <c r="A18" s="1">
        <v>5017</v>
      </c>
      <c r="B18" s="2">
        <v>45360</v>
      </c>
      <c r="C18" s="1" t="s">
        <v>19</v>
      </c>
      <c r="D18" s="1" t="s">
        <v>12</v>
      </c>
      <c r="E18" s="1" t="s">
        <v>29</v>
      </c>
      <c r="F18" s="1" t="s">
        <v>30</v>
      </c>
      <c r="G18" s="1">
        <v>1</v>
      </c>
      <c r="H18" s="1">
        <v>40000</v>
      </c>
      <c r="I18" s="1">
        <v>30000</v>
      </c>
      <c r="J18" s="1">
        <f>Table1[[#This Row],[Revenue]]-I18</f>
        <v>10000</v>
      </c>
      <c r="K18" s="1">
        <f>Table1[[#This Row],[Profit]]/Table1[[#This Row],[Revenue]]</f>
        <v>0.25</v>
      </c>
      <c r="L18" s="1" t="s">
        <v>49</v>
      </c>
    </row>
    <row r="19" spans="1:12" x14ac:dyDescent="0.25">
      <c r="A19" s="1">
        <v>5018</v>
      </c>
      <c r="B19" s="2">
        <v>45360</v>
      </c>
      <c r="C19" s="1" t="s">
        <v>22</v>
      </c>
      <c r="D19" s="1" t="s">
        <v>16</v>
      </c>
      <c r="E19" s="1" t="s">
        <v>31</v>
      </c>
      <c r="F19" s="1" t="s">
        <v>32</v>
      </c>
      <c r="G19" s="1">
        <v>2</v>
      </c>
      <c r="H19" s="1">
        <v>6000</v>
      </c>
      <c r="I19" s="1">
        <v>3500</v>
      </c>
      <c r="J19" s="1">
        <f>Table1[[#This Row],[Revenue]]-I19</f>
        <v>2500</v>
      </c>
      <c r="K19" s="1">
        <f>Table1[[#This Row],[Profit]]/Table1[[#This Row],[Revenue]]</f>
        <v>0.41666666666666669</v>
      </c>
      <c r="L19" s="1" t="s">
        <v>49</v>
      </c>
    </row>
    <row r="20" spans="1:12" x14ac:dyDescent="0.25">
      <c r="A20" s="1">
        <v>5019</v>
      </c>
      <c r="B20" s="2">
        <v>45361</v>
      </c>
      <c r="C20" s="1" t="s">
        <v>11</v>
      </c>
      <c r="D20" s="1" t="s">
        <v>12</v>
      </c>
      <c r="E20" s="1" t="s">
        <v>13</v>
      </c>
      <c r="F20" s="1" t="s">
        <v>33</v>
      </c>
      <c r="G20" s="1">
        <v>1</v>
      </c>
      <c r="H20" s="1">
        <v>20000</v>
      </c>
      <c r="I20" s="1">
        <v>15000</v>
      </c>
      <c r="J20" s="1">
        <f>Table1[[#This Row],[Revenue]]-I20</f>
        <v>5000</v>
      </c>
      <c r="K20" s="1">
        <f>Table1[[#This Row],[Profit]]/Table1[[#This Row],[Revenue]]</f>
        <v>0.25</v>
      </c>
      <c r="L20" s="1" t="s">
        <v>49</v>
      </c>
    </row>
    <row r="21" spans="1:12" x14ac:dyDescent="0.25">
      <c r="A21" s="1">
        <v>5020</v>
      </c>
      <c r="B21" s="2">
        <v>45361</v>
      </c>
      <c r="C21" s="1" t="s">
        <v>15</v>
      </c>
      <c r="D21" s="1" t="s">
        <v>16</v>
      </c>
      <c r="E21" s="1" t="s">
        <v>17</v>
      </c>
      <c r="F21" s="1" t="s">
        <v>34</v>
      </c>
      <c r="G21" s="1">
        <v>4</v>
      </c>
      <c r="H21" s="1">
        <v>3200</v>
      </c>
      <c r="I21" s="1">
        <v>1500</v>
      </c>
      <c r="J21" s="1">
        <f>Table1[[#This Row],[Revenue]]-I21</f>
        <v>1700</v>
      </c>
      <c r="K21" s="1">
        <f>Table1[[#This Row],[Profit]]/Table1[[#This Row],[Revenue]]</f>
        <v>0.53125</v>
      </c>
      <c r="L21" s="1" t="s">
        <v>45</v>
      </c>
    </row>
    <row r="22" spans="1:12" x14ac:dyDescent="0.25">
      <c r="A22" s="1">
        <v>5021</v>
      </c>
      <c r="B22" s="2">
        <v>45362</v>
      </c>
      <c r="C22" s="1" t="s">
        <v>11</v>
      </c>
      <c r="D22" s="1" t="s">
        <v>12</v>
      </c>
      <c r="E22" s="1" t="s">
        <v>13</v>
      </c>
      <c r="F22" s="1" t="s">
        <v>14</v>
      </c>
      <c r="G22" s="1">
        <v>2</v>
      </c>
      <c r="H22" s="1">
        <v>100000</v>
      </c>
      <c r="I22" s="1">
        <v>70000</v>
      </c>
      <c r="J22" s="1">
        <f>Table1[[#This Row],[Revenue]]-I22</f>
        <v>30000</v>
      </c>
      <c r="K22" s="1">
        <f>Table1[[#This Row],[Profit]]/Table1[[#This Row],[Revenue]]</f>
        <v>0.3</v>
      </c>
      <c r="L22" s="1" t="s">
        <v>45</v>
      </c>
    </row>
    <row r="23" spans="1:12" x14ac:dyDescent="0.25">
      <c r="A23" s="1">
        <v>5022</v>
      </c>
      <c r="B23" s="2">
        <v>45362</v>
      </c>
      <c r="C23" s="1" t="s">
        <v>15</v>
      </c>
      <c r="D23" s="1" t="s">
        <v>16</v>
      </c>
      <c r="E23" s="1" t="s">
        <v>17</v>
      </c>
      <c r="F23" s="1" t="s">
        <v>18</v>
      </c>
      <c r="G23" s="1">
        <v>3</v>
      </c>
      <c r="H23" s="1">
        <v>4500</v>
      </c>
      <c r="I23" s="1">
        <v>2000</v>
      </c>
      <c r="J23" s="1">
        <f>Table1[[#This Row],[Revenue]]-I23</f>
        <v>2500</v>
      </c>
      <c r="K23" s="1">
        <f>Table1[[#This Row],[Profit]]/Table1[[#This Row],[Revenue]]</f>
        <v>0.55555555555555558</v>
      </c>
      <c r="L23" s="1" t="s">
        <v>45</v>
      </c>
    </row>
    <row r="24" spans="1:12" x14ac:dyDescent="0.25">
      <c r="A24" s="1">
        <v>5023</v>
      </c>
      <c r="B24" s="2">
        <v>45363</v>
      </c>
      <c r="C24" s="1" t="s">
        <v>19</v>
      </c>
      <c r="D24" s="1" t="s">
        <v>12</v>
      </c>
      <c r="E24" s="1" t="s">
        <v>20</v>
      </c>
      <c r="F24" s="1" t="s">
        <v>21</v>
      </c>
      <c r="G24" s="1">
        <v>1</v>
      </c>
      <c r="H24" s="1">
        <v>30000</v>
      </c>
      <c r="I24" s="1">
        <v>22000</v>
      </c>
      <c r="J24" s="1">
        <f>Table1[[#This Row],[Revenue]]-I24</f>
        <v>8000</v>
      </c>
      <c r="K24" s="1">
        <f>Table1[[#This Row],[Profit]]/Table1[[#This Row],[Revenue]]</f>
        <v>0.26666666666666666</v>
      </c>
      <c r="L24" s="1" t="s">
        <v>45</v>
      </c>
    </row>
    <row r="25" spans="1:12" x14ac:dyDescent="0.25">
      <c r="A25" s="1">
        <v>5024</v>
      </c>
      <c r="B25" s="2">
        <v>45363</v>
      </c>
      <c r="C25" s="1" t="s">
        <v>22</v>
      </c>
      <c r="D25" s="1" t="s">
        <v>16</v>
      </c>
      <c r="E25" s="1" t="s">
        <v>23</v>
      </c>
      <c r="F25" s="1" t="s">
        <v>24</v>
      </c>
      <c r="G25" s="1">
        <v>2</v>
      </c>
      <c r="H25" s="1">
        <v>4000</v>
      </c>
      <c r="I25" s="1">
        <v>2500</v>
      </c>
      <c r="J25" s="1">
        <f>Table1[[#This Row],[Revenue]]-I25</f>
        <v>1500</v>
      </c>
      <c r="K25" s="1">
        <f>Table1[[#This Row],[Profit]]/Table1[[#This Row],[Revenue]]</f>
        <v>0.375</v>
      </c>
      <c r="L25" s="1" t="s">
        <v>45</v>
      </c>
    </row>
    <row r="26" spans="1:12" x14ac:dyDescent="0.25">
      <c r="A26" s="1">
        <v>5025</v>
      </c>
      <c r="B26" s="2">
        <v>45363</v>
      </c>
      <c r="C26" s="1" t="s">
        <v>11</v>
      </c>
      <c r="D26" s="1" t="s">
        <v>12</v>
      </c>
      <c r="E26" s="1" t="s">
        <v>25</v>
      </c>
      <c r="F26" s="1" t="s">
        <v>26</v>
      </c>
      <c r="G26" s="1">
        <v>3</v>
      </c>
      <c r="H26" s="1">
        <v>6000</v>
      </c>
      <c r="I26" s="1">
        <v>3500</v>
      </c>
      <c r="J26" s="1">
        <f>Table1[[#This Row],[Revenue]]-I26</f>
        <v>2500</v>
      </c>
      <c r="K26" s="1">
        <f>Table1[[#This Row],[Profit]]/Table1[[#This Row],[Revenue]]</f>
        <v>0.41666666666666669</v>
      </c>
      <c r="L26" s="1" t="s">
        <v>45</v>
      </c>
    </row>
    <row r="27" spans="1:12" x14ac:dyDescent="0.25">
      <c r="A27" s="1">
        <v>5026</v>
      </c>
      <c r="B27" s="2">
        <v>45364</v>
      </c>
      <c r="C27" s="1" t="s">
        <v>15</v>
      </c>
      <c r="D27" s="1" t="s">
        <v>16</v>
      </c>
      <c r="E27" s="1" t="s">
        <v>27</v>
      </c>
      <c r="F27" s="1" t="s">
        <v>28</v>
      </c>
      <c r="G27" s="1">
        <v>2</v>
      </c>
      <c r="H27" s="1">
        <v>5000</v>
      </c>
      <c r="I27" s="1">
        <v>3000</v>
      </c>
      <c r="J27" s="1">
        <f>Table1[[#This Row],[Revenue]]-I27</f>
        <v>2000</v>
      </c>
      <c r="K27" s="1">
        <f>Table1[[#This Row],[Profit]]/Table1[[#This Row],[Revenue]]</f>
        <v>0.4</v>
      </c>
      <c r="L27" s="1" t="s">
        <v>45</v>
      </c>
    </row>
    <row r="28" spans="1:12" x14ac:dyDescent="0.25">
      <c r="A28" s="1">
        <v>5027</v>
      </c>
      <c r="B28" s="2">
        <v>45364</v>
      </c>
      <c r="C28" s="1" t="s">
        <v>19</v>
      </c>
      <c r="D28" s="1" t="s">
        <v>12</v>
      </c>
      <c r="E28" s="1" t="s">
        <v>29</v>
      </c>
      <c r="F28" s="1" t="s">
        <v>30</v>
      </c>
      <c r="G28" s="1">
        <v>1</v>
      </c>
      <c r="H28" s="1">
        <v>40000</v>
      </c>
      <c r="I28" s="1">
        <v>30000</v>
      </c>
      <c r="J28" s="1">
        <f>Table1[[#This Row],[Revenue]]-I28</f>
        <v>10000</v>
      </c>
      <c r="K28" s="1">
        <f>Table1[[#This Row],[Profit]]/Table1[[#This Row],[Revenue]]</f>
        <v>0.25</v>
      </c>
      <c r="L28" s="1" t="s">
        <v>45</v>
      </c>
    </row>
    <row r="29" spans="1:12" x14ac:dyDescent="0.25">
      <c r="A29" s="1">
        <v>5028</v>
      </c>
      <c r="B29" s="2">
        <v>45365</v>
      </c>
      <c r="C29" s="1" t="s">
        <v>22</v>
      </c>
      <c r="D29" s="1" t="s">
        <v>16</v>
      </c>
      <c r="E29" s="1" t="s">
        <v>31</v>
      </c>
      <c r="F29" s="1" t="s">
        <v>32</v>
      </c>
      <c r="G29" s="1">
        <v>2</v>
      </c>
      <c r="H29" s="1">
        <v>6000</v>
      </c>
      <c r="I29" s="1">
        <v>3500</v>
      </c>
      <c r="J29" s="1">
        <f>Table1[[#This Row],[Revenue]]-I29</f>
        <v>2500</v>
      </c>
      <c r="K29" s="1">
        <f>Table1[[#This Row],[Profit]]/Table1[[#This Row],[Revenue]]</f>
        <v>0.41666666666666669</v>
      </c>
      <c r="L29" s="1" t="s">
        <v>46</v>
      </c>
    </row>
    <row r="30" spans="1:12" x14ac:dyDescent="0.25">
      <c r="A30" s="1">
        <v>5029</v>
      </c>
      <c r="B30" s="2">
        <v>45366</v>
      </c>
      <c r="C30" s="1" t="s">
        <v>11</v>
      </c>
      <c r="D30" s="1" t="s">
        <v>12</v>
      </c>
      <c r="E30" s="1" t="s">
        <v>13</v>
      </c>
      <c r="F30" s="1" t="s">
        <v>33</v>
      </c>
      <c r="G30" s="1">
        <v>1</v>
      </c>
      <c r="H30" s="1">
        <v>20000</v>
      </c>
      <c r="I30" s="1">
        <v>15000</v>
      </c>
      <c r="J30" s="1">
        <f>Table1[[#This Row],[Revenue]]-I30</f>
        <v>5000</v>
      </c>
      <c r="K30" s="1">
        <f>Table1[[#This Row],[Profit]]/Table1[[#This Row],[Revenue]]</f>
        <v>0.25</v>
      </c>
      <c r="L30" s="1" t="s">
        <v>46</v>
      </c>
    </row>
    <row r="31" spans="1:12" x14ac:dyDescent="0.25">
      <c r="A31" s="1">
        <v>5030</v>
      </c>
      <c r="B31" s="2">
        <v>45366</v>
      </c>
      <c r="C31" s="1" t="s">
        <v>15</v>
      </c>
      <c r="D31" s="1" t="s">
        <v>16</v>
      </c>
      <c r="E31" s="1" t="s">
        <v>17</v>
      </c>
      <c r="F31" s="1" t="s">
        <v>34</v>
      </c>
      <c r="G31" s="1">
        <v>4</v>
      </c>
      <c r="H31" s="1">
        <v>3200</v>
      </c>
      <c r="I31" s="1">
        <v>1500</v>
      </c>
      <c r="J31" s="1">
        <f>Table1[[#This Row],[Revenue]]-I31</f>
        <v>1700</v>
      </c>
      <c r="K31" s="1">
        <f>Table1[[#This Row],[Profit]]/Table1[[#This Row],[Revenue]]</f>
        <v>0.53125</v>
      </c>
      <c r="L31" s="1" t="s">
        <v>46</v>
      </c>
    </row>
    <row r="32" spans="1:12" x14ac:dyDescent="0.25">
      <c r="A32" s="1">
        <v>5031</v>
      </c>
      <c r="B32" s="2">
        <v>45366</v>
      </c>
      <c r="C32" s="1" t="s">
        <v>11</v>
      </c>
      <c r="D32" s="1" t="s">
        <v>12</v>
      </c>
      <c r="E32" s="1" t="s">
        <v>13</v>
      </c>
      <c r="F32" s="1" t="s">
        <v>14</v>
      </c>
      <c r="G32" s="1">
        <v>2</v>
      </c>
      <c r="H32" s="1">
        <v>100000</v>
      </c>
      <c r="I32" s="1">
        <v>70000</v>
      </c>
      <c r="J32" s="1">
        <f>Table1[[#This Row],[Revenue]]-I32</f>
        <v>30000</v>
      </c>
      <c r="K32" s="1">
        <f>Table1[[#This Row],[Profit]]/Table1[[#This Row],[Revenue]]</f>
        <v>0.3</v>
      </c>
      <c r="L32" s="1" t="s">
        <v>46</v>
      </c>
    </row>
    <row r="33" spans="1:12" x14ac:dyDescent="0.25">
      <c r="A33" s="1">
        <v>5032</v>
      </c>
      <c r="B33" s="2">
        <v>45367</v>
      </c>
      <c r="C33" s="1" t="s">
        <v>15</v>
      </c>
      <c r="D33" s="1" t="s">
        <v>16</v>
      </c>
      <c r="E33" s="1" t="s">
        <v>17</v>
      </c>
      <c r="F33" s="1" t="s">
        <v>18</v>
      </c>
      <c r="G33" s="1">
        <v>3</v>
      </c>
      <c r="H33" s="1">
        <v>4500</v>
      </c>
      <c r="I33" s="1">
        <v>2000</v>
      </c>
      <c r="J33" s="1">
        <f>Table1[[#This Row],[Revenue]]-I33</f>
        <v>2500</v>
      </c>
      <c r="K33" s="1">
        <f>Table1[[#This Row],[Profit]]/Table1[[#This Row],[Revenue]]</f>
        <v>0.55555555555555558</v>
      </c>
      <c r="L33" s="1" t="s">
        <v>46</v>
      </c>
    </row>
    <row r="34" spans="1:12" x14ac:dyDescent="0.25">
      <c r="A34" s="1">
        <v>5033</v>
      </c>
      <c r="B34" s="2">
        <v>45367</v>
      </c>
      <c r="C34" s="1" t="s">
        <v>19</v>
      </c>
      <c r="D34" s="1" t="s">
        <v>12</v>
      </c>
      <c r="E34" s="1" t="s">
        <v>20</v>
      </c>
      <c r="F34" s="1" t="s">
        <v>21</v>
      </c>
      <c r="G34" s="1">
        <v>1</v>
      </c>
      <c r="H34" s="1">
        <v>30000</v>
      </c>
      <c r="I34" s="1">
        <v>22000</v>
      </c>
      <c r="J34" s="1">
        <f>Table1[[#This Row],[Revenue]]-I34</f>
        <v>8000</v>
      </c>
      <c r="K34" s="1">
        <f>Table1[[#This Row],[Profit]]/Table1[[#This Row],[Revenue]]</f>
        <v>0.26666666666666666</v>
      </c>
      <c r="L34" s="1" t="s">
        <v>46</v>
      </c>
    </row>
    <row r="35" spans="1:12" x14ac:dyDescent="0.25">
      <c r="A35" s="1">
        <v>5034</v>
      </c>
      <c r="B35" s="2">
        <v>45368</v>
      </c>
      <c r="C35" s="1" t="s">
        <v>22</v>
      </c>
      <c r="D35" s="1" t="s">
        <v>16</v>
      </c>
      <c r="E35" s="1" t="s">
        <v>23</v>
      </c>
      <c r="F35" s="1" t="s">
        <v>24</v>
      </c>
      <c r="G35" s="1">
        <v>2</v>
      </c>
      <c r="H35" s="1">
        <v>4000</v>
      </c>
      <c r="I35" s="1">
        <v>2500</v>
      </c>
      <c r="J35" s="1">
        <f>Table1[[#This Row],[Revenue]]-I35</f>
        <v>1500</v>
      </c>
      <c r="K35" s="1">
        <f>Table1[[#This Row],[Profit]]/Table1[[#This Row],[Revenue]]</f>
        <v>0.375</v>
      </c>
      <c r="L35" s="1" t="s">
        <v>46</v>
      </c>
    </row>
    <row r="36" spans="1:12" x14ac:dyDescent="0.25">
      <c r="A36" s="1">
        <v>5035</v>
      </c>
      <c r="B36" s="2">
        <v>45368</v>
      </c>
      <c r="C36" s="1" t="s">
        <v>11</v>
      </c>
      <c r="D36" s="1" t="s">
        <v>12</v>
      </c>
      <c r="E36" s="1" t="s">
        <v>25</v>
      </c>
      <c r="F36" s="1" t="s">
        <v>26</v>
      </c>
      <c r="G36" s="1">
        <v>3</v>
      </c>
      <c r="H36" s="1">
        <v>6000</v>
      </c>
      <c r="I36" s="1">
        <v>3500</v>
      </c>
      <c r="J36" s="1">
        <f>Table1[[#This Row],[Revenue]]-I36</f>
        <v>2500</v>
      </c>
      <c r="K36" s="1">
        <f>Table1[[#This Row],[Profit]]/Table1[[#This Row],[Revenue]]</f>
        <v>0.41666666666666669</v>
      </c>
      <c r="L36" s="1" t="s">
        <v>46</v>
      </c>
    </row>
    <row r="37" spans="1:12" x14ac:dyDescent="0.25">
      <c r="A37" s="1">
        <v>5036</v>
      </c>
      <c r="B37" s="2">
        <v>45369</v>
      </c>
      <c r="C37" s="1" t="s">
        <v>15</v>
      </c>
      <c r="D37" s="1" t="s">
        <v>16</v>
      </c>
      <c r="E37" s="1" t="s">
        <v>27</v>
      </c>
      <c r="F37" s="1" t="s">
        <v>28</v>
      </c>
      <c r="G37" s="1">
        <v>2</v>
      </c>
      <c r="H37" s="1">
        <v>5000</v>
      </c>
      <c r="I37" s="1">
        <v>3000</v>
      </c>
      <c r="J37" s="1">
        <f>Table1[[#This Row],[Revenue]]-I37</f>
        <v>2000</v>
      </c>
      <c r="K37" s="1">
        <f>Table1[[#This Row],[Profit]]/Table1[[#This Row],[Revenue]]</f>
        <v>0.4</v>
      </c>
      <c r="L37" s="1" t="s">
        <v>46</v>
      </c>
    </row>
    <row r="38" spans="1:12" x14ac:dyDescent="0.25">
      <c r="A38" s="1">
        <v>5037</v>
      </c>
      <c r="B38" s="2">
        <v>45369</v>
      </c>
      <c r="C38" s="1" t="s">
        <v>19</v>
      </c>
      <c r="D38" s="1" t="s">
        <v>12</v>
      </c>
      <c r="E38" s="1" t="s">
        <v>29</v>
      </c>
      <c r="F38" s="1" t="s">
        <v>30</v>
      </c>
      <c r="G38" s="1">
        <v>1</v>
      </c>
      <c r="H38" s="1">
        <v>40000</v>
      </c>
      <c r="I38" s="1">
        <v>30000</v>
      </c>
      <c r="J38" s="1">
        <f>Table1[[#This Row],[Revenue]]-I38</f>
        <v>10000</v>
      </c>
      <c r="K38" s="1">
        <f>Table1[[#This Row],[Profit]]/Table1[[#This Row],[Revenue]]</f>
        <v>0.25</v>
      </c>
      <c r="L38" s="1" t="s">
        <v>47</v>
      </c>
    </row>
    <row r="39" spans="1:12" x14ac:dyDescent="0.25">
      <c r="A39" s="1">
        <v>5038</v>
      </c>
      <c r="B39" s="2">
        <v>45370</v>
      </c>
      <c r="C39" s="1" t="s">
        <v>22</v>
      </c>
      <c r="D39" s="1" t="s">
        <v>16</v>
      </c>
      <c r="E39" s="1" t="s">
        <v>31</v>
      </c>
      <c r="F39" s="1" t="s">
        <v>32</v>
      </c>
      <c r="G39" s="1">
        <v>2</v>
      </c>
      <c r="H39" s="1">
        <v>6000</v>
      </c>
      <c r="I39" s="1">
        <v>3500</v>
      </c>
      <c r="J39" s="1">
        <f>Table1[[#This Row],[Revenue]]-I39</f>
        <v>2500</v>
      </c>
      <c r="K39" s="1">
        <f>Table1[[#This Row],[Profit]]/Table1[[#This Row],[Revenue]]</f>
        <v>0.41666666666666669</v>
      </c>
      <c r="L39" s="1" t="s">
        <v>47</v>
      </c>
    </row>
    <row r="40" spans="1:12" x14ac:dyDescent="0.25">
      <c r="A40" s="1">
        <v>5039</v>
      </c>
      <c r="B40" s="2">
        <v>45371</v>
      </c>
      <c r="C40" s="1" t="s">
        <v>11</v>
      </c>
      <c r="D40" s="1" t="s">
        <v>12</v>
      </c>
      <c r="E40" s="1" t="s">
        <v>13</v>
      </c>
      <c r="F40" s="1" t="s">
        <v>33</v>
      </c>
      <c r="G40" s="1">
        <v>1</v>
      </c>
      <c r="H40" s="1">
        <v>20000</v>
      </c>
      <c r="I40" s="1">
        <v>15000</v>
      </c>
      <c r="J40" s="1">
        <f>Table1[[#This Row],[Revenue]]-I40</f>
        <v>5000</v>
      </c>
      <c r="K40" s="1">
        <f>Table1[[#This Row],[Profit]]/Table1[[#This Row],[Revenue]]</f>
        <v>0.25</v>
      </c>
      <c r="L40" s="1" t="s">
        <v>47</v>
      </c>
    </row>
    <row r="41" spans="1:12" x14ac:dyDescent="0.25">
      <c r="A41" s="1">
        <v>5040</v>
      </c>
      <c r="B41" s="2">
        <v>45371</v>
      </c>
      <c r="C41" s="1" t="s">
        <v>15</v>
      </c>
      <c r="D41" s="1" t="s">
        <v>16</v>
      </c>
      <c r="E41" s="1" t="s">
        <v>17</v>
      </c>
      <c r="F41" s="1" t="s">
        <v>34</v>
      </c>
      <c r="G41" s="1">
        <v>4</v>
      </c>
      <c r="H41" s="1">
        <v>3200</v>
      </c>
      <c r="I41" s="1">
        <v>1500</v>
      </c>
      <c r="J41" s="1">
        <f>Table1[[#This Row],[Revenue]]-I41</f>
        <v>1700</v>
      </c>
      <c r="K41" s="1">
        <f>Table1[[#This Row],[Profit]]/Table1[[#This Row],[Revenue]]</f>
        <v>0.53125</v>
      </c>
      <c r="L41" s="1" t="s">
        <v>47</v>
      </c>
    </row>
    <row r="42" spans="1:12" x14ac:dyDescent="0.25">
      <c r="A42" s="1">
        <v>5041</v>
      </c>
      <c r="B42" s="2">
        <v>45372</v>
      </c>
      <c r="C42" s="1" t="s">
        <v>11</v>
      </c>
      <c r="D42" s="1" t="s">
        <v>12</v>
      </c>
      <c r="E42" s="1" t="s">
        <v>13</v>
      </c>
      <c r="F42" s="1" t="s">
        <v>14</v>
      </c>
      <c r="G42" s="1">
        <v>2</v>
      </c>
      <c r="H42" s="1">
        <v>100000</v>
      </c>
      <c r="I42" s="1">
        <v>70000</v>
      </c>
      <c r="J42" s="1">
        <f>Table1[[#This Row],[Revenue]]-I42</f>
        <v>30000</v>
      </c>
      <c r="K42" s="1">
        <f>Table1[[#This Row],[Profit]]/Table1[[#This Row],[Revenue]]</f>
        <v>0.3</v>
      </c>
      <c r="L42" s="1" t="s">
        <v>47</v>
      </c>
    </row>
    <row r="43" spans="1:12" x14ac:dyDescent="0.25">
      <c r="A43" s="1">
        <v>5042</v>
      </c>
      <c r="B43" s="2">
        <v>45372</v>
      </c>
      <c r="C43" s="1" t="s">
        <v>15</v>
      </c>
      <c r="D43" s="1" t="s">
        <v>16</v>
      </c>
      <c r="E43" s="1" t="s">
        <v>17</v>
      </c>
      <c r="F43" s="1" t="s">
        <v>18</v>
      </c>
      <c r="G43" s="1">
        <v>3</v>
      </c>
      <c r="H43" s="1">
        <v>4500</v>
      </c>
      <c r="I43" s="1">
        <v>2000</v>
      </c>
      <c r="J43" s="1">
        <f>Table1[[#This Row],[Revenue]]-I43</f>
        <v>2500</v>
      </c>
      <c r="K43" s="1">
        <f>Table1[[#This Row],[Profit]]/Table1[[#This Row],[Revenue]]</f>
        <v>0.55555555555555558</v>
      </c>
      <c r="L43" s="1" t="s">
        <v>47</v>
      </c>
    </row>
    <row r="44" spans="1:12" x14ac:dyDescent="0.25">
      <c r="A44" s="1">
        <v>5043</v>
      </c>
      <c r="B44" s="2">
        <v>45372</v>
      </c>
      <c r="C44" s="1" t="s">
        <v>19</v>
      </c>
      <c r="D44" s="1" t="s">
        <v>12</v>
      </c>
      <c r="E44" s="1" t="s">
        <v>20</v>
      </c>
      <c r="F44" s="1" t="s">
        <v>21</v>
      </c>
      <c r="G44" s="1">
        <v>1</v>
      </c>
      <c r="H44" s="1">
        <v>30000</v>
      </c>
      <c r="I44" s="1">
        <v>22000</v>
      </c>
      <c r="J44" s="1">
        <f>Table1[[#This Row],[Revenue]]-I44</f>
        <v>8000</v>
      </c>
      <c r="K44" s="1">
        <f>Table1[[#This Row],[Profit]]/Table1[[#This Row],[Revenue]]</f>
        <v>0.26666666666666666</v>
      </c>
      <c r="L44" s="1" t="s">
        <v>47</v>
      </c>
    </row>
    <row r="45" spans="1:12" x14ac:dyDescent="0.25">
      <c r="A45" s="1">
        <v>5044</v>
      </c>
      <c r="B45" s="2">
        <v>45373</v>
      </c>
      <c r="C45" s="1" t="s">
        <v>22</v>
      </c>
      <c r="D45" s="1" t="s">
        <v>16</v>
      </c>
      <c r="E45" s="1" t="s">
        <v>23</v>
      </c>
      <c r="F45" s="1" t="s">
        <v>24</v>
      </c>
      <c r="G45" s="1">
        <v>2</v>
      </c>
      <c r="H45" s="1">
        <v>4000</v>
      </c>
      <c r="I45" s="1">
        <v>2500</v>
      </c>
      <c r="J45" s="1">
        <f>Table1[[#This Row],[Revenue]]-I45</f>
        <v>1500</v>
      </c>
      <c r="K45" s="1">
        <f>Table1[[#This Row],[Profit]]/Table1[[#This Row],[Revenue]]</f>
        <v>0.375</v>
      </c>
      <c r="L45" s="1" t="s">
        <v>47</v>
      </c>
    </row>
    <row r="46" spans="1:12" x14ac:dyDescent="0.25">
      <c r="A46" s="1">
        <v>5045</v>
      </c>
      <c r="B46" s="2">
        <v>45373</v>
      </c>
      <c r="C46" s="1" t="s">
        <v>11</v>
      </c>
      <c r="D46" s="1" t="s">
        <v>12</v>
      </c>
      <c r="E46" s="1" t="s">
        <v>25</v>
      </c>
      <c r="F46" s="1" t="s">
        <v>26</v>
      </c>
      <c r="G46" s="1">
        <v>3</v>
      </c>
      <c r="H46" s="1">
        <v>6000</v>
      </c>
      <c r="I46" s="1">
        <v>3500</v>
      </c>
      <c r="J46" s="1">
        <f>Table1[[#This Row],[Revenue]]-I46</f>
        <v>2500</v>
      </c>
      <c r="K46" s="1">
        <f>Table1[[#This Row],[Profit]]/Table1[[#This Row],[Revenue]]</f>
        <v>0.41666666666666669</v>
      </c>
      <c r="L46" s="1" t="s">
        <v>47</v>
      </c>
    </row>
    <row r="47" spans="1:12" x14ac:dyDescent="0.25">
      <c r="A47" s="1">
        <v>5046</v>
      </c>
      <c r="B47" s="2">
        <v>45373</v>
      </c>
      <c r="C47" s="1" t="s">
        <v>15</v>
      </c>
      <c r="D47" s="1" t="s">
        <v>16</v>
      </c>
      <c r="E47" s="1" t="s">
        <v>27</v>
      </c>
      <c r="F47" s="1" t="s">
        <v>28</v>
      </c>
      <c r="G47" s="1">
        <v>2</v>
      </c>
      <c r="H47" s="1">
        <v>5000</v>
      </c>
      <c r="I47" s="1">
        <v>3000</v>
      </c>
      <c r="J47" s="1">
        <f>Table1[[#This Row],[Revenue]]-I47</f>
        <v>2000</v>
      </c>
      <c r="K47" s="1">
        <f>Table1[[#This Row],[Profit]]/Table1[[#This Row],[Revenue]]</f>
        <v>0.4</v>
      </c>
      <c r="L47" s="1" t="s">
        <v>47</v>
      </c>
    </row>
    <row r="48" spans="1:12" x14ac:dyDescent="0.25">
      <c r="A48" s="1">
        <v>5047</v>
      </c>
      <c r="B48" s="2">
        <v>45374</v>
      </c>
      <c r="C48" s="1" t="s">
        <v>19</v>
      </c>
      <c r="D48" s="1" t="s">
        <v>12</v>
      </c>
      <c r="E48" s="1" t="s">
        <v>29</v>
      </c>
      <c r="F48" s="1" t="s">
        <v>30</v>
      </c>
      <c r="G48" s="1">
        <v>1</v>
      </c>
      <c r="H48" s="1">
        <v>40000</v>
      </c>
      <c r="I48" s="1">
        <v>30000</v>
      </c>
      <c r="J48" s="1">
        <f>Table1[[#This Row],[Revenue]]-I48</f>
        <v>10000</v>
      </c>
      <c r="K48" s="1">
        <f>Table1[[#This Row],[Profit]]/Table1[[#This Row],[Revenue]]</f>
        <v>0.25</v>
      </c>
      <c r="L48" s="1" t="s">
        <v>47</v>
      </c>
    </row>
    <row r="49" spans="1:12" x14ac:dyDescent="0.25">
      <c r="A49" s="1">
        <v>5048</v>
      </c>
      <c r="B49" s="2">
        <v>45374</v>
      </c>
      <c r="C49" s="1" t="s">
        <v>22</v>
      </c>
      <c r="D49" s="1" t="s">
        <v>16</v>
      </c>
      <c r="E49" s="1" t="s">
        <v>31</v>
      </c>
      <c r="F49" s="1" t="s">
        <v>32</v>
      </c>
      <c r="G49" s="1">
        <v>2</v>
      </c>
      <c r="H49" s="1">
        <v>6000</v>
      </c>
      <c r="I49" s="1">
        <v>3500</v>
      </c>
      <c r="J49" s="1">
        <f>Table1[[#This Row],[Revenue]]-I49</f>
        <v>2500</v>
      </c>
      <c r="K49" s="1">
        <f>Table1[[#This Row],[Profit]]/Table1[[#This Row],[Revenue]]</f>
        <v>0.41666666666666669</v>
      </c>
      <c r="L49" s="1" t="s">
        <v>46</v>
      </c>
    </row>
    <row r="50" spans="1:12" x14ac:dyDescent="0.25">
      <c r="A50" s="1">
        <v>5049</v>
      </c>
      <c r="B50" s="2">
        <v>45374</v>
      </c>
      <c r="C50" s="1" t="s">
        <v>11</v>
      </c>
      <c r="D50" s="1" t="s">
        <v>12</v>
      </c>
      <c r="E50" s="1" t="s">
        <v>13</v>
      </c>
      <c r="F50" s="1" t="s">
        <v>33</v>
      </c>
      <c r="G50" s="1">
        <v>1</v>
      </c>
      <c r="H50" s="1">
        <v>20000</v>
      </c>
      <c r="I50" s="1">
        <v>15000</v>
      </c>
      <c r="J50" s="1">
        <f>Table1[[#This Row],[Revenue]]-I50</f>
        <v>5000</v>
      </c>
      <c r="K50" s="1">
        <f>Table1[[#This Row],[Profit]]/Table1[[#This Row],[Revenue]]</f>
        <v>0.25</v>
      </c>
      <c r="L50" s="1" t="s">
        <v>46</v>
      </c>
    </row>
    <row r="51" spans="1:12" x14ac:dyDescent="0.25">
      <c r="A51" s="1">
        <v>5050</v>
      </c>
      <c r="B51" s="2">
        <v>45374</v>
      </c>
      <c r="C51" s="1" t="s">
        <v>15</v>
      </c>
      <c r="D51" s="1" t="s">
        <v>16</v>
      </c>
      <c r="E51" s="1" t="s">
        <v>17</v>
      </c>
      <c r="F51" s="1" t="s">
        <v>34</v>
      </c>
      <c r="G51" s="1">
        <v>4</v>
      </c>
      <c r="H51" s="1">
        <v>3200</v>
      </c>
      <c r="I51" s="1">
        <v>1500</v>
      </c>
      <c r="J51" s="1">
        <f>Table1[[#This Row],[Revenue]]-I51</f>
        <v>1700</v>
      </c>
      <c r="K51" s="1">
        <f>Table1[[#This Row],[Profit]]/Table1[[#This Row],[Revenue]]</f>
        <v>0.53125</v>
      </c>
      <c r="L51" s="1" t="s">
        <v>46</v>
      </c>
    </row>
    <row r="52" spans="1:12" x14ac:dyDescent="0.25">
      <c r="A52" s="1">
        <v>5051</v>
      </c>
      <c r="B52" s="2">
        <v>45375</v>
      </c>
      <c r="C52" s="1" t="s">
        <v>11</v>
      </c>
      <c r="D52" s="1" t="s">
        <v>12</v>
      </c>
      <c r="E52" s="1" t="s">
        <v>13</v>
      </c>
      <c r="F52" s="1" t="s">
        <v>14</v>
      </c>
      <c r="G52" s="1">
        <v>2</v>
      </c>
      <c r="H52" s="1">
        <v>100000</v>
      </c>
      <c r="I52" s="1">
        <v>70000</v>
      </c>
      <c r="J52" s="1">
        <f>Table1[[#This Row],[Revenue]]-I52</f>
        <v>30000</v>
      </c>
      <c r="K52" s="1">
        <f>Table1[[#This Row],[Profit]]/Table1[[#This Row],[Revenue]]</f>
        <v>0.3</v>
      </c>
      <c r="L52" s="1" t="s">
        <v>46</v>
      </c>
    </row>
    <row r="53" spans="1:12" x14ac:dyDescent="0.25">
      <c r="A53" s="1">
        <v>5052</v>
      </c>
      <c r="B53" s="2">
        <v>45375</v>
      </c>
      <c r="C53" s="1" t="s">
        <v>15</v>
      </c>
      <c r="D53" s="1" t="s">
        <v>16</v>
      </c>
      <c r="E53" s="1" t="s">
        <v>17</v>
      </c>
      <c r="F53" s="1" t="s">
        <v>18</v>
      </c>
      <c r="G53" s="1">
        <v>3</v>
      </c>
      <c r="H53" s="1">
        <v>4500</v>
      </c>
      <c r="I53" s="1">
        <v>2000</v>
      </c>
      <c r="J53" s="1">
        <f>Table1[[#This Row],[Revenue]]-I53</f>
        <v>2500</v>
      </c>
      <c r="K53" s="1">
        <f>Table1[[#This Row],[Profit]]/Table1[[#This Row],[Revenue]]</f>
        <v>0.55555555555555558</v>
      </c>
      <c r="L53" s="1" t="s">
        <v>46</v>
      </c>
    </row>
    <row r="54" spans="1:12" x14ac:dyDescent="0.25">
      <c r="A54" s="1">
        <v>5053</v>
      </c>
      <c r="B54" s="2">
        <v>45376</v>
      </c>
      <c r="C54" s="1" t="s">
        <v>19</v>
      </c>
      <c r="D54" s="1" t="s">
        <v>12</v>
      </c>
      <c r="E54" s="1" t="s">
        <v>20</v>
      </c>
      <c r="F54" s="1" t="s">
        <v>21</v>
      </c>
      <c r="G54" s="1">
        <v>1</v>
      </c>
      <c r="H54" s="1">
        <v>30000</v>
      </c>
      <c r="I54" s="1">
        <v>22000</v>
      </c>
      <c r="J54" s="1">
        <f>Table1[[#This Row],[Revenue]]-I54</f>
        <v>8000</v>
      </c>
      <c r="K54" s="1">
        <f>Table1[[#This Row],[Profit]]/Table1[[#This Row],[Revenue]]</f>
        <v>0.26666666666666666</v>
      </c>
      <c r="L54" s="1" t="s">
        <v>46</v>
      </c>
    </row>
    <row r="55" spans="1:12" x14ac:dyDescent="0.25">
      <c r="A55" s="1">
        <v>5054</v>
      </c>
      <c r="B55" s="2">
        <v>45376</v>
      </c>
      <c r="C55" s="1" t="s">
        <v>22</v>
      </c>
      <c r="D55" s="1" t="s">
        <v>16</v>
      </c>
      <c r="E55" s="1" t="s">
        <v>23</v>
      </c>
      <c r="F55" s="1" t="s">
        <v>24</v>
      </c>
      <c r="G55" s="1">
        <v>2</v>
      </c>
      <c r="H55" s="1">
        <v>4000</v>
      </c>
      <c r="I55" s="1">
        <v>2500</v>
      </c>
      <c r="J55" s="1">
        <f>Table1[[#This Row],[Revenue]]-I55</f>
        <v>1500</v>
      </c>
      <c r="K55" s="1">
        <f>Table1[[#This Row],[Profit]]/Table1[[#This Row],[Revenue]]</f>
        <v>0.375</v>
      </c>
      <c r="L55" s="1" t="s">
        <v>46</v>
      </c>
    </row>
    <row r="56" spans="1:12" x14ac:dyDescent="0.25">
      <c r="A56" s="1">
        <v>5055</v>
      </c>
      <c r="B56" s="2">
        <v>45377</v>
      </c>
      <c r="C56" s="1" t="s">
        <v>11</v>
      </c>
      <c r="D56" s="1" t="s">
        <v>12</v>
      </c>
      <c r="E56" s="1" t="s">
        <v>25</v>
      </c>
      <c r="F56" s="1" t="s">
        <v>26</v>
      </c>
      <c r="G56" s="1">
        <v>3</v>
      </c>
      <c r="H56" s="1">
        <v>6000</v>
      </c>
      <c r="I56" s="1">
        <v>3500</v>
      </c>
      <c r="J56" s="1">
        <f>Table1[[#This Row],[Revenue]]-I56</f>
        <v>2500</v>
      </c>
      <c r="K56" s="1">
        <f>Table1[[#This Row],[Profit]]/Table1[[#This Row],[Revenue]]</f>
        <v>0.41666666666666669</v>
      </c>
      <c r="L56" s="1" t="s">
        <v>46</v>
      </c>
    </row>
    <row r="57" spans="1:12" x14ac:dyDescent="0.25">
      <c r="A57" s="1">
        <v>5056</v>
      </c>
      <c r="B57" s="2">
        <v>45377</v>
      </c>
      <c r="C57" s="1" t="s">
        <v>15</v>
      </c>
      <c r="D57" s="1" t="s">
        <v>16</v>
      </c>
      <c r="E57" s="1" t="s">
        <v>27</v>
      </c>
      <c r="F57" s="1" t="s">
        <v>28</v>
      </c>
      <c r="G57" s="1">
        <v>2</v>
      </c>
      <c r="H57" s="1">
        <v>5000</v>
      </c>
      <c r="I57" s="1">
        <v>3000</v>
      </c>
      <c r="J57" s="1">
        <f>Table1[[#This Row],[Revenue]]-I57</f>
        <v>2000</v>
      </c>
      <c r="K57" s="1">
        <f>Table1[[#This Row],[Profit]]/Table1[[#This Row],[Revenue]]</f>
        <v>0.4</v>
      </c>
      <c r="L57" s="1" t="s">
        <v>46</v>
      </c>
    </row>
    <row r="58" spans="1:12" x14ac:dyDescent="0.25">
      <c r="A58" s="1">
        <v>5057</v>
      </c>
      <c r="B58" s="2">
        <v>45377</v>
      </c>
      <c r="C58" s="1" t="s">
        <v>19</v>
      </c>
      <c r="D58" s="1" t="s">
        <v>12</v>
      </c>
      <c r="E58" s="1" t="s">
        <v>29</v>
      </c>
      <c r="F58" s="1" t="s">
        <v>30</v>
      </c>
      <c r="G58" s="1">
        <v>1</v>
      </c>
      <c r="H58" s="1">
        <v>40000</v>
      </c>
      <c r="I58" s="1">
        <v>30000</v>
      </c>
      <c r="J58" s="1">
        <f>Table1[[#This Row],[Revenue]]-I58</f>
        <v>10000</v>
      </c>
      <c r="K58" s="1">
        <f>Table1[[#This Row],[Profit]]/Table1[[#This Row],[Revenue]]</f>
        <v>0.25</v>
      </c>
      <c r="L58" s="1" t="s">
        <v>46</v>
      </c>
    </row>
    <row r="59" spans="1:12" x14ac:dyDescent="0.25">
      <c r="A59" s="1">
        <v>5058</v>
      </c>
      <c r="B59" s="2">
        <v>45378</v>
      </c>
      <c r="C59" s="1" t="s">
        <v>22</v>
      </c>
      <c r="D59" s="1" t="s">
        <v>16</v>
      </c>
      <c r="E59" s="1" t="s">
        <v>31</v>
      </c>
      <c r="F59" s="1" t="s">
        <v>32</v>
      </c>
      <c r="G59" s="1">
        <v>2</v>
      </c>
      <c r="H59" s="1">
        <v>6000</v>
      </c>
      <c r="I59" s="1">
        <v>3500</v>
      </c>
      <c r="J59" s="1">
        <f>Table1[[#This Row],[Revenue]]-I59</f>
        <v>2500</v>
      </c>
      <c r="K59" s="1">
        <f>Table1[[#This Row],[Profit]]/Table1[[#This Row],[Revenue]]</f>
        <v>0.41666666666666669</v>
      </c>
      <c r="L59" s="1" t="s">
        <v>46</v>
      </c>
    </row>
    <row r="60" spans="1:12" x14ac:dyDescent="0.25">
      <c r="A60" s="1">
        <v>5059</v>
      </c>
      <c r="B60" s="2">
        <v>45378</v>
      </c>
      <c r="C60" s="1" t="s">
        <v>11</v>
      </c>
      <c r="D60" s="1" t="s">
        <v>12</v>
      </c>
      <c r="E60" s="1" t="s">
        <v>13</v>
      </c>
      <c r="F60" s="1" t="s">
        <v>33</v>
      </c>
      <c r="G60" s="1">
        <v>1</v>
      </c>
      <c r="H60" s="1">
        <v>20000</v>
      </c>
      <c r="I60" s="1">
        <v>15000</v>
      </c>
      <c r="J60" s="1">
        <f>Table1[[#This Row],[Revenue]]-I60</f>
        <v>5000</v>
      </c>
      <c r="K60" s="1">
        <f>Table1[[#This Row],[Profit]]/Table1[[#This Row],[Revenue]]</f>
        <v>0.25</v>
      </c>
      <c r="L60" s="1" t="s">
        <v>46</v>
      </c>
    </row>
    <row r="61" spans="1:12" x14ac:dyDescent="0.25">
      <c r="A61" s="1">
        <v>5060</v>
      </c>
      <c r="B61" s="2">
        <v>45379</v>
      </c>
      <c r="C61" s="1" t="s">
        <v>15</v>
      </c>
      <c r="D61" s="1" t="s">
        <v>16</v>
      </c>
      <c r="E61" s="1" t="s">
        <v>17</v>
      </c>
      <c r="F61" s="1" t="s">
        <v>34</v>
      </c>
      <c r="G61" s="1">
        <v>4</v>
      </c>
      <c r="H61" s="1">
        <v>3200</v>
      </c>
      <c r="I61" s="1">
        <v>1500</v>
      </c>
      <c r="J61" s="1">
        <f>Table1[[#This Row],[Revenue]]-I61</f>
        <v>1700</v>
      </c>
      <c r="K61" s="1">
        <f>Table1[[#This Row],[Profit]]/Table1[[#This Row],[Revenue]]</f>
        <v>0.53125</v>
      </c>
      <c r="L61" s="1" t="s">
        <v>46</v>
      </c>
    </row>
    <row r="62" spans="1:12" x14ac:dyDescent="0.25">
      <c r="A62" s="1">
        <v>5061</v>
      </c>
      <c r="B62" s="2">
        <v>45379</v>
      </c>
      <c r="C62" s="1" t="s">
        <v>11</v>
      </c>
      <c r="D62" s="1" t="s">
        <v>12</v>
      </c>
      <c r="E62" s="1" t="s">
        <v>13</v>
      </c>
      <c r="F62" s="1" t="s">
        <v>14</v>
      </c>
      <c r="G62" s="1">
        <v>2</v>
      </c>
      <c r="H62" s="1">
        <v>100000</v>
      </c>
      <c r="I62" s="1">
        <v>70000</v>
      </c>
      <c r="J62" s="1">
        <f>Table1[[#This Row],[Revenue]]-I62</f>
        <v>30000</v>
      </c>
      <c r="K62" s="1">
        <f>Table1[[#This Row],[Profit]]/Table1[[#This Row],[Revenue]]</f>
        <v>0.3</v>
      </c>
      <c r="L62" s="1" t="s">
        <v>46</v>
      </c>
    </row>
    <row r="63" spans="1:12" x14ac:dyDescent="0.25">
      <c r="A63" s="1">
        <v>5062</v>
      </c>
      <c r="B63" s="2">
        <v>45380</v>
      </c>
      <c r="C63" s="1" t="s">
        <v>15</v>
      </c>
      <c r="D63" s="1" t="s">
        <v>16</v>
      </c>
      <c r="E63" s="1" t="s">
        <v>17</v>
      </c>
      <c r="F63" s="1" t="s">
        <v>18</v>
      </c>
      <c r="G63" s="1">
        <v>3</v>
      </c>
      <c r="H63" s="1">
        <v>4500</v>
      </c>
      <c r="I63" s="1">
        <v>2000</v>
      </c>
      <c r="J63" s="1">
        <f>Table1[[#This Row],[Revenue]]-I63</f>
        <v>2500</v>
      </c>
      <c r="K63" s="1">
        <f>Table1[[#This Row],[Profit]]/Table1[[#This Row],[Revenue]]</f>
        <v>0.55555555555555558</v>
      </c>
      <c r="L63" s="1" t="s">
        <v>46</v>
      </c>
    </row>
    <row r="64" spans="1:12" x14ac:dyDescent="0.25">
      <c r="A64" s="1">
        <v>5063</v>
      </c>
      <c r="B64" s="2">
        <v>45380</v>
      </c>
      <c r="C64" s="1" t="s">
        <v>19</v>
      </c>
      <c r="D64" s="1" t="s">
        <v>12</v>
      </c>
      <c r="E64" s="1" t="s">
        <v>20</v>
      </c>
      <c r="F64" s="1" t="s">
        <v>21</v>
      </c>
      <c r="G64" s="1">
        <v>1</v>
      </c>
      <c r="H64" s="1">
        <v>30000</v>
      </c>
      <c r="I64" s="1">
        <v>22000</v>
      </c>
      <c r="J64" s="1">
        <f>Table1[[#This Row],[Revenue]]-I64</f>
        <v>8000</v>
      </c>
      <c r="K64" s="1">
        <f>Table1[[#This Row],[Profit]]/Table1[[#This Row],[Revenue]]</f>
        <v>0.26666666666666666</v>
      </c>
      <c r="L64" s="1" t="s">
        <v>45</v>
      </c>
    </row>
    <row r="65" spans="1:12" x14ac:dyDescent="0.25">
      <c r="A65" s="1">
        <v>5064</v>
      </c>
      <c r="B65" s="2">
        <v>45380</v>
      </c>
      <c r="C65" s="1" t="s">
        <v>22</v>
      </c>
      <c r="D65" s="1" t="s">
        <v>16</v>
      </c>
      <c r="E65" s="1" t="s">
        <v>23</v>
      </c>
      <c r="F65" s="1" t="s">
        <v>24</v>
      </c>
      <c r="G65" s="1">
        <v>2</v>
      </c>
      <c r="H65" s="1">
        <v>4000</v>
      </c>
      <c r="I65" s="1">
        <v>2500</v>
      </c>
      <c r="J65" s="1">
        <f>Table1[[#This Row],[Revenue]]-I65</f>
        <v>1500</v>
      </c>
      <c r="K65" s="1">
        <f>Table1[[#This Row],[Profit]]/Table1[[#This Row],[Revenue]]</f>
        <v>0.375</v>
      </c>
      <c r="L65" s="1" t="s">
        <v>45</v>
      </c>
    </row>
    <row r="66" spans="1:12" x14ac:dyDescent="0.25">
      <c r="A66" s="1">
        <v>5065</v>
      </c>
      <c r="B66" s="2">
        <v>45380</v>
      </c>
      <c r="C66" s="1" t="s">
        <v>11</v>
      </c>
      <c r="D66" s="1" t="s">
        <v>12</v>
      </c>
      <c r="E66" s="1" t="s">
        <v>25</v>
      </c>
      <c r="F66" s="1" t="s">
        <v>26</v>
      </c>
      <c r="G66" s="1">
        <v>3</v>
      </c>
      <c r="H66" s="1">
        <v>6000</v>
      </c>
      <c r="I66" s="1">
        <v>3500</v>
      </c>
      <c r="J66" s="1">
        <f>Table1[[#This Row],[Revenue]]-I66</f>
        <v>2500</v>
      </c>
      <c r="K66" s="1">
        <f>Table1[[#This Row],[Profit]]/Table1[[#This Row],[Revenue]]</f>
        <v>0.41666666666666669</v>
      </c>
      <c r="L66" s="1" t="s">
        <v>45</v>
      </c>
    </row>
    <row r="67" spans="1:12" x14ac:dyDescent="0.25">
      <c r="A67" s="1">
        <v>5066</v>
      </c>
      <c r="B67" s="2">
        <v>45380</v>
      </c>
      <c r="C67" s="1" t="s">
        <v>15</v>
      </c>
      <c r="D67" s="1" t="s">
        <v>16</v>
      </c>
      <c r="E67" s="1" t="s">
        <v>27</v>
      </c>
      <c r="F67" s="1" t="s">
        <v>28</v>
      </c>
      <c r="G67" s="1">
        <v>2</v>
      </c>
      <c r="H67" s="1">
        <v>5000</v>
      </c>
      <c r="I67" s="1">
        <v>3000</v>
      </c>
      <c r="J67" s="1">
        <f>Table1[[#This Row],[Revenue]]-I67</f>
        <v>2000</v>
      </c>
      <c r="K67" s="1">
        <f>Table1[[#This Row],[Profit]]/Table1[[#This Row],[Revenue]]</f>
        <v>0.4</v>
      </c>
      <c r="L67" s="1" t="s">
        <v>45</v>
      </c>
    </row>
    <row r="68" spans="1:12" x14ac:dyDescent="0.25">
      <c r="A68" s="1">
        <v>5067</v>
      </c>
      <c r="B68" s="2">
        <v>45381</v>
      </c>
      <c r="C68" s="1" t="s">
        <v>19</v>
      </c>
      <c r="D68" s="1" t="s">
        <v>12</v>
      </c>
      <c r="E68" s="1" t="s">
        <v>29</v>
      </c>
      <c r="F68" s="1" t="s">
        <v>30</v>
      </c>
      <c r="G68" s="1">
        <v>1</v>
      </c>
      <c r="H68" s="1">
        <v>40000</v>
      </c>
      <c r="I68" s="1">
        <v>30000</v>
      </c>
      <c r="J68" s="1">
        <f>Table1[[#This Row],[Revenue]]-I68</f>
        <v>10000</v>
      </c>
      <c r="K68" s="1">
        <f>Table1[[#This Row],[Profit]]/Table1[[#This Row],[Revenue]]</f>
        <v>0.25</v>
      </c>
      <c r="L68" s="1" t="s">
        <v>45</v>
      </c>
    </row>
    <row r="69" spans="1:12" x14ac:dyDescent="0.25">
      <c r="A69" s="1">
        <v>5068</v>
      </c>
      <c r="B69" s="2">
        <v>45381</v>
      </c>
      <c r="C69" s="1" t="s">
        <v>22</v>
      </c>
      <c r="D69" s="1" t="s">
        <v>16</v>
      </c>
      <c r="E69" s="1" t="s">
        <v>31</v>
      </c>
      <c r="F69" s="1" t="s">
        <v>32</v>
      </c>
      <c r="G69" s="1">
        <v>2</v>
      </c>
      <c r="H69" s="1">
        <v>6000</v>
      </c>
      <c r="I69" s="1">
        <v>3500</v>
      </c>
      <c r="J69" s="1">
        <f>Table1[[#This Row],[Revenue]]-I69</f>
        <v>2500</v>
      </c>
      <c r="K69" s="1">
        <f>Table1[[#This Row],[Profit]]/Table1[[#This Row],[Revenue]]</f>
        <v>0.41666666666666669</v>
      </c>
      <c r="L69" s="1" t="s">
        <v>45</v>
      </c>
    </row>
    <row r="70" spans="1:12" x14ac:dyDescent="0.25">
      <c r="A70" s="1">
        <v>5069</v>
      </c>
      <c r="B70" s="2">
        <v>45381</v>
      </c>
      <c r="C70" s="1" t="s">
        <v>11</v>
      </c>
      <c r="D70" s="1" t="s">
        <v>12</v>
      </c>
      <c r="E70" s="1" t="s">
        <v>13</v>
      </c>
      <c r="F70" s="1" t="s">
        <v>33</v>
      </c>
      <c r="G70" s="1">
        <v>1</v>
      </c>
      <c r="H70" s="1">
        <v>20000</v>
      </c>
      <c r="I70" s="1">
        <v>15000</v>
      </c>
      <c r="J70" s="1">
        <f>Table1[[#This Row],[Revenue]]-I70</f>
        <v>5000</v>
      </c>
      <c r="K70" s="1">
        <f>Table1[[#This Row],[Profit]]/Table1[[#This Row],[Revenue]]</f>
        <v>0.25</v>
      </c>
      <c r="L70" s="1" t="s">
        <v>45</v>
      </c>
    </row>
    <row r="71" spans="1:12" x14ac:dyDescent="0.25">
      <c r="A71" s="1">
        <v>5070</v>
      </c>
      <c r="B71" s="2">
        <v>45381</v>
      </c>
      <c r="C71" s="1" t="s">
        <v>15</v>
      </c>
      <c r="D71" s="1" t="s">
        <v>16</v>
      </c>
      <c r="E71" s="1" t="s">
        <v>17</v>
      </c>
      <c r="F71" s="1" t="s">
        <v>34</v>
      </c>
      <c r="G71" s="1">
        <v>4</v>
      </c>
      <c r="H71" s="1">
        <v>3200</v>
      </c>
      <c r="I71" s="1">
        <v>1500</v>
      </c>
      <c r="J71" s="1">
        <f>Table1[[#This Row],[Revenue]]-I71</f>
        <v>1700</v>
      </c>
      <c r="K71" s="1">
        <f>Table1[[#This Row],[Profit]]/Table1[[#This Row],[Revenue]]</f>
        <v>0.53125</v>
      </c>
      <c r="L71" s="1" t="s">
        <v>45</v>
      </c>
    </row>
    <row r="72" spans="1:12" x14ac:dyDescent="0.25">
      <c r="A72" s="1">
        <v>5071</v>
      </c>
      <c r="B72" s="2">
        <v>45381</v>
      </c>
      <c r="C72" s="1" t="s">
        <v>11</v>
      </c>
      <c r="D72" s="1" t="s">
        <v>12</v>
      </c>
      <c r="E72" s="1" t="s">
        <v>13</v>
      </c>
      <c r="F72" s="1" t="s">
        <v>14</v>
      </c>
      <c r="G72" s="1">
        <v>2</v>
      </c>
      <c r="H72" s="1">
        <v>100000</v>
      </c>
      <c r="I72" s="1">
        <v>70000</v>
      </c>
      <c r="J72" s="1">
        <f>Table1[[#This Row],[Revenue]]-I72</f>
        <v>30000</v>
      </c>
      <c r="K72" s="1">
        <f>Table1[[#This Row],[Profit]]/Table1[[#This Row],[Revenue]]</f>
        <v>0.3</v>
      </c>
      <c r="L72" s="1" t="s">
        <v>45</v>
      </c>
    </row>
    <row r="73" spans="1:12" x14ac:dyDescent="0.25">
      <c r="A73" s="1">
        <v>5072</v>
      </c>
      <c r="B73" s="2">
        <v>45381</v>
      </c>
      <c r="C73" s="1" t="s">
        <v>15</v>
      </c>
      <c r="D73" s="1" t="s">
        <v>16</v>
      </c>
      <c r="E73" s="1" t="s">
        <v>17</v>
      </c>
      <c r="F73" s="1" t="s">
        <v>18</v>
      </c>
      <c r="G73" s="1">
        <v>3</v>
      </c>
      <c r="H73" s="1">
        <v>4500</v>
      </c>
      <c r="I73" s="1">
        <v>2000</v>
      </c>
      <c r="J73" s="1">
        <f>Table1[[#This Row],[Revenue]]-I73</f>
        <v>2500</v>
      </c>
      <c r="K73" s="1">
        <f>Table1[[#This Row],[Profit]]/Table1[[#This Row],[Revenue]]</f>
        <v>0.55555555555555558</v>
      </c>
      <c r="L73" s="1" t="s">
        <v>45</v>
      </c>
    </row>
    <row r="74" spans="1:12" x14ac:dyDescent="0.25">
      <c r="A74" s="1">
        <v>5073</v>
      </c>
      <c r="B74" s="2">
        <v>45381</v>
      </c>
      <c r="C74" s="1" t="s">
        <v>19</v>
      </c>
      <c r="D74" s="1" t="s">
        <v>12</v>
      </c>
      <c r="E74" s="1" t="s">
        <v>20</v>
      </c>
      <c r="F74" s="1" t="s">
        <v>21</v>
      </c>
      <c r="G74" s="1">
        <v>1</v>
      </c>
      <c r="H74" s="1">
        <v>30000</v>
      </c>
      <c r="I74" s="1">
        <v>22000</v>
      </c>
      <c r="J74" s="1">
        <f>Table1[[#This Row],[Revenue]]-I74</f>
        <v>8000</v>
      </c>
      <c r="K74" s="1">
        <f>Table1[[#This Row],[Profit]]/Table1[[#This Row],[Revenue]]</f>
        <v>0.26666666666666666</v>
      </c>
      <c r="L74" s="1" t="s">
        <v>45</v>
      </c>
    </row>
    <row r="75" spans="1:12" x14ac:dyDescent="0.25">
      <c r="A75" s="1">
        <v>5074</v>
      </c>
      <c r="B75" s="2">
        <v>45382</v>
      </c>
      <c r="C75" s="1" t="s">
        <v>22</v>
      </c>
      <c r="D75" s="1" t="s">
        <v>16</v>
      </c>
      <c r="E75" s="1" t="s">
        <v>23</v>
      </c>
      <c r="F75" s="1" t="s">
        <v>24</v>
      </c>
      <c r="G75" s="1">
        <v>2</v>
      </c>
      <c r="H75" s="1">
        <v>4000</v>
      </c>
      <c r="I75" s="1">
        <v>2500</v>
      </c>
      <c r="J75" s="1">
        <f>Table1[[#This Row],[Revenue]]-I75</f>
        <v>1500</v>
      </c>
      <c r="K75" s="1">
        <f>Table1[[#This Row],[Profit]]/Table1[[#This Row],[Revenue]]</f>
        <v>0.375</v>
      </c>
      <c r="L75" s="1" t="s">
        <v>45</v>
      </c>
    </row>
    <row r="76" spans="1:12" x14ac:dyDescent="0.25">
      <c r="A76" s="1">
        <v>5075</v>
      </c>
      <c r="B76" s="2">
        <v>45382</v>
      </c>
      <c r="C76" s="1" t="s">
        <v>11</v>
      </c>
      <c r="D76" s="1" t="s">
        <v>12</v>
      </c>
      <c r="E76" s="1" t="s">
        <v>25</v>
      </c>
      <c r="F76" s="1" t="s">
        <v>26</v>
      </c>
      <c r="G76" s="1">
        <v>3</v>
      </c>
      <c r="H76" s="1">
        <v>6000</v>
      </c>
      <c r="I76" s="1">
        <v>3500</v>
      </c>
      <c r="J76" s="1">
        <f>Table1[[#This Row],[Revenue]]-I76</f>
        <v>2500</v>
      </c>
      <c r="K76" s="1">
        <f>Table1[[#This Row],[Profit]]/Table1[[#This Row],[Revenue]]</f>
        <v>0.41666666666666669</v>
      </c>
      <c r="L76" s="1" t="s">
        <v>50</v>
      </c>
    </row>
    <row r="77" spans="1:12" x14ac:dyDescent="0.25">
      <c r="A77" s="1">
        <v>5076</v>
      </c>
      <c r="B77" s="2">
        <v>45382</v>
      </c>
      <c r="C77" s="1" t="s">
        <v>15</v>
      </c>
      <c r="D77" s="1" t="s">
        <v>16</v>
      </c>
      <c r="E77" s="1" t="s">
        <v>27</v>
      </c>
      <c r="F77" s="1" t="s">
        <v>28</v>
      </c>
      <c r="G77" s="1">
        <v>2</v>
      </c>
      <c r="H77" s="1">
        <v>5000</v>
      </c>
      <c r="I77" s="1">
        <v>3000</v>
      </c>
      <c r="J77" s="1">
        <f>Table1[[#This Row],[Revenue]]-I77</f>
        <v>2000</v>
      </c>
      <c r="K77" s="1">
        <f>Table1[[#This Row],[Profit]]/Table1[[#This Row],[Revenue]]</f>
        <v>0.4</v>
      </c>
      <c r="L77" s="1" t="s">
        <v>50</v>
      </c>
    </row>
    <row r="78" spans="1:12" x14ac:dyDescent="0.25">
      <c r="A78" s="1">
        <v>5077</v>
      </c>
      <c r="B78" s="2">
        <v>45382</v>
      </c>
      <c r="C78" s="1" t="s">
        <v>19</v>
      </c>
      <c r="D78" s="1" t="s">
        <v>12</v>
      </c>
      <c r="E78" s="1" t="s">
        <v>29</v>
      </c>
      <c r="F78" s="1" t="s">
        <v>30</v>
      </c>
      <c r="G78" s="1">
        <v>1</v>
      </c>
      <c r="H78" s="1">
        <v>40000</v>
      </c>
      <c r="I78" s="1">
        <v>30000</v>
      </c>
      <c r="J78" s="1">
        <f>Table1[[#This Row],[Revenue]]-I78</f>
        <v>10000</v>
      </c>
      <c r="K78" s="1">
        <f>Table1[[#This Row],[Profit]]/Table1[[#This Row],[Revenue]]</f>
        <v>0.25</v>
      </c>
      <c r="L78" s="1" t="s">
        <v>50</v>
      </c>
    </row>
    <row r="79" spans="1:12" x14ac:dyDescent="0.25">
      <c r="A79" s="1">
        <v>5078</v>
      </c>
      <c r="B79" s="2">
        <v>45382</v>
      </c>
      <c r="C79" s="1" t="s">
        <v>22</v>
      </c>
      <c r="D79" s="1" t="s">
        <v>16</v>
      </c>
      <c r="E79" s="1" t="s">
        <v>31</v>
      </c>
      <c r="F79" s="1" t="s">
        <v>32</v>
      </c>
      <c r="G79" s="1">
        <v>2</v>
      </c>
      <c r="H79" s="1">
        <v>6000</v>
      </c>
      <c r="I79" s="1">
        <v>3500</v>
      </c>
      <c r="J79" s="1">
        <f>Table1[[#This Row],[Revenue]]-I79</f>
        <v>2500</v>
      </c>
      <c r="K79" s="1">
        <f>Table1[[#This Row],[Profit]]/Table1[[#This Row],[Revenue]]</f>
        <v>0.41666666666666669</v>
      </c>
      <c r="L79" s="1" t="s">
        <v>50</v>
      </c>
    </row>
    <row r="80" spans="1:12" x14ac:dyDescent="0.25">
      <c r="A80" s="1">
        <v>5079</v>
      </c>
      <c r="B80" s="2">
        <v>45382</v>
      </c>
      <c r="C80" s="1" t="s">
        <v>11</v>
      </c>
      <c r="D80" s="1" t="s">
        <v>12</v>
      </c>
      <c r="E80" s="1" t="s">
        <v>13</v>
      </c>
      <c r="F80" s="1" t="s">
        <v>33</v>
      </c>
      <c r="G80" s="1">
        <v>1</v>
      </c>
      <c r="H80" s="1">
        <v>20000</v>
      </c>
      <c r="I80" s="1">
        <v>15000</v>
      </c>
      <c r="J80" s="1">
        <f>Table1[[#This Row],[Revenue]]-I80</f>
        <v>5000</v>
      </c>
      <c r="K80" s="1">
        <f>Table1[[#This Row],[Profit]]/Table1[[#This Row],[Revenue]]</f>
        <v>0.25</v>
      </c>
      <c r="L80" s="1" t="s">
        <v>50</v>
      </c>
    </row>
    <row r="81" spans="1:12" x14ac:dyDescent="0.25">
      <c r="A81" s="1">
        <v>5080</v>
      </c>
      <c r="B81" s="2">
        <v>45382</v>
      </c>
      <c r="C81" s="1" t="s">
        <v>15</v>
      </c>
      <c r="D81" s="1" t="s">
        <v>16</v>
      </c>
      <c r="E81" s="1" t="s">
        <v>17</v>
      </c>
      <c r="F81" s="1" t="s">
        <v>34</v>
      </c>
      <c r="G81" s="1">
        <v>4</v>
      </c>
      <c r="H81" s="1">
        <v>3200</v>
      </c>
      <c r="I81" s="1">
        <v>1500</v>
      </c>
      <c r="J81" s="1">
        <f>Table1[[#This Row],[Revenue]]-I81</f>
        <v>1700</v>
      </c>
      <c r="K81" s="1">
        <f>Table1[[#This Row],[Profit]]/Table1[[#This Row],[Revenue]]</f>
        <v>0.53125</v>
      </c>
      <c r="L81" s="1" t="s">
        <v>46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8281A-5301-4585-8048-F18EC63F3A72}">
  <dimension ref="A1"/>
  <sheetViews>
    <sheetView showGridLines="0" showRowColHeaders="0" tabSelected="1" zoomScale="70" zoomScaleNormal="70" workbookViewId="0">
      <selection sqref="A1:XFD1048576"/>
    </sheetView>
  </sheetViews>
  <sheetFormatPr defaultRowHeight="15" x14ac:dyDescent="0.25"/>
  <cols>
    <col min="1" max="1" width="5.28515625" customWidth="1"/>
    <col min="2" max="2" width="27.5703125" customWidth="1"/>
    <col min="3" max="3" width="5.28515625" customWidth="1"/>
  </cols>
  <sheetData/>
  <pageMargins left="0.7" right="0.7" top="0.75" bottom="0.75" header="0.3" footer="0.3"/>
  <pageSetup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PIVOTS</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2026-04-09T15:48:19Z</cp:lastPrinted>
  <dcterms:created xsi:type="dcterms:W3CDTF">2026-04-09T10:19:38Z</dcterms:created>
  <dcterms:modified xsi:type="dcterms:W3CDTF">2026-04-09T15:58:24Z</dcterms:modified>
</cp:coreProperties>
</file>